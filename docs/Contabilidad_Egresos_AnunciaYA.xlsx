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 y Egresos" sheetId="1" state="visible" r:id="rId1"/>
    <sheet name="Resumen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b val="1"/>
      <color rgb="00C00000"/>
      <sz val="12"/>
    </font>
    <font>
      <name val="Arial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right" vertical="top" wrapText="1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164" fontId="5" fillId="6" borderId="1" applyAlignment="1" pivotButton="0" quotePrefix="0" xfId="0">
      <alignment horizontal="right" vertical="top" wrapText="1"/>
    </xf>
    <xf numFmtId="0" fontId="6" fillId="0" borderId="0" pivotButton="0" quotePrefix="0" xfId="0"/>
    <xf numFmtId="0" fontId="4" fillId="0" borderId="1" pivotButton="0" quotePrefix="0" xfId="0"/>
    <xf numFmtId="164" fontId="7" fillId="6" borderId="1" pivotButton="0" quotePrefix="0" xfId="0"/>
    <xf numFmtId="0" fontId="0" fillId="0" borderId="1" pivotButton="0" quotePrefix="0" xfId="0"/>
    <xf numFmtId="0" fontId="8" fillId="0" borderId="0" pivotButton="0" quotePrefix="0" xfId="0"/>
    <xf numFmtId="164" fontId="9" fillId="3" borderId="1" pivotButton="0" quotePrefix="0" xfId="0"/>
    <xf numFmtId="0" fontId="1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0" customWidth="1" min="4" max="4"/>
    <col width="24" customWidth="1" min="5" max="5"/>
    <col width="14" customWidth="1" min="6" max="6"/>
    <col width="8" customWidth="1" min="7" max="7"/>
    <col width="15" customWidth="1" min="8" max="8"/>
    <col width="18" customWidth="1" min="9" max="9"/>
    <col width="46" customWidth="1" min="10" max="10"/>
  </cols>
  <sheetData>
    <row r="1" ht="22" customHeight="1">
      <c r="A1" s="1" t="inlineStr">
        <is>
          <t>AnunciaYA — Control de Egresos (Servicios / Infraestructura)</t>
        </is>
      </c>
    </row>
    <row r="2">
      <c r="A2" s="2" t="inlineStr">
        <is>
          <t>Actualizado 2 jul 2026 · 'Plan al promover' = decisión antes de promocionar · Amarillo = por confirmar · Rojo = subir ANTES de promover · Verde = ok/reaccionar · Azul = herramienta de trabajo/contenido</t>
        </is>
      </c>
    </row>
    <row r="4">
      <c r="A4" s="3" t="inlineStr">
        <is>
          <t>Servicio</t>
        </is>
      </c>
      <c r="B4" s="3" t="inlineStr">
        <is>
          <t>Para qué sirve</t>
        </is>
      </c>
      <c r="C4" s="3" t="inlineStr">
        <is>
          <t>Plan HOY</t>
        </is>
      </c>
      <c r="D4" s="3" t="inlineStr">
        <is>
          <t>Costo HOY</t>
        </is>
      </c>
      <c r="E4" s="3" t="inlineStr">
        <is>
          <t>Plan AL PROMOVER (decisión)</t>
        </is>
      </c>
      <c r="F4" s="3" t="inlineStr">
        <is>
          <t>Costo AL PROMOVER</t>
        </is>
      </c>
      <c r="G4" s="3" t="inlineStr">
        <is>
          <t>Moneda</t>
        </is>
      </c>
      <c r="H4" s="3" t="inlineStr">
        <is>
          <t>Frecuencia</t>
        </is>
      </c>
      <c r="I4" s="3" t="inlineStr">
        <is>
          <t>Método de pago</t>
        </is>
      </c>
      <c r="J4" s="3" t="inlineStr">
        <is>
          <t>Notas / Decisión</t>
        </is>
      </c>
    </row>
    <row r="5" ht="54" customHeight="1">
      <c r="A5" s="4" t="inlineStr">
        <is>
          <t>Render (Backend/API)</t>
        </is>
      </c>
      <c r="B5" s="5" t="inlineStr">
        <is>
          <t>Servidor backend (Express, Socket.io, crons)</t>
        </is>
      </c>
      <c r="C5" s="5" t="inlineStr">
        <is>
          <t>Starter</t>
        </is>
      </c>
      <c r="D5" s="6" t="n">
        <v>7</v>
      </c>
      <c r="E5" s="7" t="inlineStr">
        <is>
          <t>Starter (→ Standard si hace falta)</t>
        </is>
      </c>
      <c r="F5" s="6" t="n">
        <v>7</v>
      </c>
      <c r="G5" s="5" t="inlineStr">
        <is>
          <t>USD</t>
        </is>
      </c>
      <c r="H5" s="5" t="inlineStr">
        <is>
          <t>Mensual</t>
        </is>
      </c>
      <c r="I5" s="5" t="inlineStr">
        <is>
          <t>MasterCard …3923</t>
        </is>
      </c>
      <c r="J5" s="5" t="inlineStr">
        <is>
          <t>REACCIONAR: no se cae al subir carga; ver Metrics (RAM/CPU) y subir a Standard ($25, 2GB) si RAM&gt;80%. Escala con 1 clic, sin downtime.</t>
        </is>
      </c>
    </row>
    <row r="6" ht="54" customHeight="1">
      <c r="A6" s="8" t="inlineStr">
        <is>
          <t>Vercel (Web + Panel)</t>
        </is>
      </c>
      <c r="B6" s="9" t="inlineStr">
        <is>
          <t>Hosting frontend (anunciaya.mx / admin)</t>
        </is>
      </c>
      <c r="C6" s="9" t="inlineStr">
        <is>
          <t>Hobby</t>
        </is>
      </c>
      <c r="D6" s="10" t="n">
        <v>0</v>
      </c>
      <c r="E6" s="11" t="inlineStr">
        <is>
          <t>Pro</t>
        </is>
      </c>
      <c r="F6" s="10" t="n">
        <v>20</v>
      </c>
      <c r="G6" s="9" t="inlineStr">
        <is>
          <t>USD</t>
        </is>
      </c>
      <c r="H6" s="9" t="inlineStr">
        <is>
          <t>Mensual</t>
        </is>
      </c>
      <c r="I6" s="9" t="inlineStr">
        <is>
          <t>MasterCard …3923</t>
        </is>
      </c>
      <c r="J6" s="9" t="inlineStr">
        <is>
          <t>DECISIÓN (Juan): activar Pro AL SALIR A PROMOVER (~mediados jul 2026), junto con Supabase Pro. Motivo REAL = LICENCIA COMERCIAL: Hobby es solo uso NO comercial (términos); AnunciaYA cobra = comercial → pueden suspender el proyecto. NO es por velocidad. 1 solo Pro cubre web+admin (por cuenta, no por proyecto) + $20 crédito de uso. RFC opcional: dejar vacío por ahora.</t>
        </is>
      </c>
    </row>
    <row r="7" ht="54" customHeight="1">
      <c r="A7" s="4" t="inlineStr">
        <is>
          <t>Supabase (Base de datos)</t>
        </is>
      </c>
      <c r="B7" s="5" t="inlineStr">
        <is>
          <t>PostgreSQL + PostGIS (dev y prod)</t>
        </is>
      </c>
      <c r="C7" s="5" t="inlineStr">
        <is>
          <t>Free</t>
        </is>
      </c>
      <c r="D7" s="6" t="n">
        <v>0</v>
      </c>
      <c r="E7" s="11" t="inlineStr">
        <is>
          <t>Pro</t>
        </is>
      </c>
      <c r="F7" s="6" t="n">
        <v>25</v>
      </c>
      <c r="G7" s="5" t="inlineStr">
        <is>
          <t>USD</t>
        </is>
      </c>
      <c r="H7" s="5" t="inlineStr">
        <is>
          <t>Mensual</t>
        </is>
      </c>
      <c r="I7" s="5" t="inlineStr">
        <is>
          <t>CONFIRMAR</t>
        </is>
      </c>
      <c r="J7" s="5" t="inlineStr">
        <is>
          <t>DECISIÓN (Juan): activar Pro AL SALIR A PROMOVER (~mediados jul 2026), junto con Vercel Pro. Motivo ÚNICO = BACKUPS diarios automáticos (proteger datos de pagos/negocios); NO es por velocidad ni espacio (DB va en ~8% de 500MB). Free = SIN backups + read-only al exceder + se pausa. Enfocar Pro a PROD; dev puede quedarse en Free.</t>
        </is>
      </c>
    </row>
    <row r="8" ht="54" customHeight="1">
      <c r="A8" s="8" t="inlineStr">
        <is>
          <t>Upstash (Redis)</t>
        </is>
      </c>
      <c r="B8" s="9" t="inlineStr">
        <is>
          <t>Caché / tokens / rate-limit / 'viendo ahora'</t>
        </is>
      </c>
      <c r="C8" s="9" t="inlineStr">
        <is>
          <t>Fixed 250MB (prod)</t>
        </is>
      </c>
      <c r="D8" s="10" t="n">
        <v>10</v>
      </c>
      <c r="E8" s="7" t="inlineStr">
        <is>
          <t>Fixed 250MB</t>
        </is>
      </c>
      <c r="F8" s="10" t="n">
        <v>10</v>
      </c>
      <c r="G8" s="9" t="inlineStr">
        <is>
          <t>USD</t>
        </is>
      </c>
      <c r="H8" s="9" t="inlineStr">
        <is>
          <t>Mensual · corte fin de mes</t>
        </is>
      </c>
      <c r="I8" s="9" t="inlineStr">
        <is>
          <t>MasterCard …3923</t>
        </is>
      </c>
      <c r="J8" s="9" t="inlineStr">
        <is>
          <t>HECHO 2-jul: base de prod propia 'anunciaya-redis-prod' (Oregon us-west-2), SEPARADA de la de dev (antes compartían una sola). Plan Fixed = $10 FIJO/mes sin importar tráfico (250MB datos + 50GB bandwidth, eviction + auto-upgrade ON). Se descartó el 'Prod Pack' de $200 (enterprise, innecesario). COBRO: por mes CALENDARIO, a inicios del mes siguiente (mes vencido); tarjeta ya guardada en la cuenta (cobro automático, no re-pide CVV). 1er cargo ~1-3 ago (julio prorrateado ~$9.6 desde el 2-jul); agosto en adelante $10 completo.</t>
        </is>
      </c>
    </row>
    <row r="9" ht="54" customHeight="1">
      <c r="A9" s="4" t="inlineStr">
        <is>
          <t>Stripe (Pagos)</t>
        </is>
      </c>
      <c r="B9" s="5" t="inlineStr">
        <is>
          <t>Cobro de membresías y publicidad</t>
        </is>
      </c>
      <c r="C9" s="5" t="inlineStr">
        <is>
          <t>Pago por uso</t>
        </is>
      </c>
      <c r="D9" s="12" t="inlineStr">
        <is>
          <t>Variable</t>
        </is>
      </c>
      <c r="E9" s="7" t="inlineStr">
        <is>
          <t>Pago por uso</t>
        </is>
      </c>
      <c r="F9" s="12" t="inlineStr">
        <is>
          <t>Variable</t>
        </is>
      </c>
      <c r="G9" s="5" t="inlineStr">
        <is>
          <t>MXN</t>
        </is>
      </c>
      <c r="H9" s="5" t="inlineStr">
        <is>
          <t>Por transacción</t>
        </is>
      </c>
      <c r="I9" s="5" t="inlineStr">
        <is>
          <t>Se descuenta del cobro</t>
        </is>
      </c>
      <c r="J9" s="5" t="inlineStr">
        <is>
          <t>≈3.6% + $3 + IVA por cobro. Disputas ~$200–400 c/u. Sin cuota fija. No cambia con el plan.</t>
        </is>
      </c>
    </row>
    <row r="10" ht="54" customHeight="1">
      <c r="A10" s="8" t="inlineStr">
        <is>
          <t>AWS SES (Correos)</t>
        </is>
      </c>
      <c r="B10" s="9" t="inlineStr">
        <is>
          <t>Correos (verificación, 2FA, recibos)</t>
        </is>
      </c>
      <c r="C10" s="9" t="inlineStr">
        <is>
          <t>Sandbox (cuenta estándar)</t>
        </is>
      </c>
      <c r="D10" s="10" t="n">
        <v>0</v>
      </c>
      <c r="E10" s="7" t="inlineStr">
        <is>
          <t>Producción (por uso)</t>
        </is>
      </c>
      <c r="F10" s="13" t="inlineStr">
        <is>
          <t>Variable</t>
        </is>
      </c>
      <c r="G10" s="9" t="inlineStr">
        <is>
          <t>MXN</t>
        </is>
      </c>
      <c r="H10" s="9" t="inlineStr">
        <is>
          <t>Por uso</t>
        </is>
      </c>
      <c r="I10" s="9" t="inlineStr">
        <is>
          <t>MasterCard …3923</t>
        </is>
      </c>
      <c r="J10" s="9" t="inlineStr">
        <is>
          <t>≈$0.10 USD / 1,000 correos (facturado en MXN por AWS México). Muy barato, escala solo. Región us-east-2 (Ohio). HECHO 1-jul: cuenta pasada a ESTÁNDAR (pago por uso) para que NO se cierre al vencer el free tier (vencía ~26 jul); tarjeta 3923 predeterminada + divisa MXN. Créditos free tier ($99.99) siguen accesibles hasta agotarse. PENDIENTE: aprobación de salida del sandbox por AWS (caso 178293532700740, 'acción del cliente completada' = esperando a AWS).</t>
        </is>
      </c>
    </row>
    <row r="11" ht="54" customHeight="1">
      <c r="A11" s="4" t="inlineStr">
        <is>
          <t>Cloudflare R2 (Archivos)</t>
        </is>
      </c>
      <c r="B11" s="5" t="inlineStr">
        <is>
          <t>Imágenes / audios / documentos</t>
        </is>
      </c>
      <c r="C11" s="5" t="inlineStr">
        <is>
          <t>R2 Paid ($0/mo + uso)</t>
        </is>
      </c>
      <c r="D11" s="6" t="n">
        <v>0</v>
      </c>
      <c r="E11" s="7" t="inlineStr">
        <is>
          <t>Por uso</t>
        </is>
      </c>
      <c r="F11" s="12" t="inlineStr">
        <is>
          <t>Variable</t>
        </is>
      </c>
      <c r="G11" s="5" t="inlineStr">
        <is>
          <t>USD</t>
        </is>
      </c>
      <c r="H11" s="5" t="inlineStr">
        <is>
          <t>Por uso</t>
        </is>
      </c>
      <c r="I11" s="5" t="inlineStr">
        <is>
          <t>MasterCard …3923</t>
        </is>
      </c>
      <c r="J11" s="5" t="inlineStr">
        <is>
          <t>10 GB gratis + egress GRATIS; luego ~$0.015/GB/mes. Escala solo, no se cae. Muy barato (hoy usa ~52 MB). SEPARADO dev/prod 1-jul: bucket prod propio 'anunciaya-prod' (dev='anunciaya-tickets'). R2 Paid activo, se cobra solo si supera el free tier. Tarjeta unificada 3923.</t>
        </is>
      </c>
    </row>
    <row r="12" ht="54" customHeight="1">
      <c r="A12" s="8" t="inlineStr">
        <is>
          <t>Dominio anunciaya.mx</t>
        </is>
      </c>
      <c r="B12" s="9" t="inlineStr">
        <is>
          <t>Nombre de dominio</t>
        </is>
      </c>
      <c r="C12" s="9" t="inlineStr">
        <is>
          <t>Registrado (Namecheap)</t>
        </is>
      </c>
      <c r="D12" s="10" t="n">
        <v>26.98</v>
      </c>
      <c r="E12" s="7" t="inlineStr">
        <is>
          <t>Renovación anual</t>
        </is>
      </c>
      <c r="F12" s="10" t="n">
        <v>41.98</v>
      </c>
      <c r="G12" s="9" t="inlineStr">
        <is>
          <t>USD</t>
        </is>
      </c>
      <c r="H12" s="9" t="inlineStr">
        <is>
          <t>ANUAL · renueva 19-may-2027</t>
        </is>
      </c>
      <c r="I12" s="9" t="inlineStr">
        <is>
          <t>MasterCard …3923</t>
        </is>
      </c>
      <c r="J12" s="9" t="inlineStr">
        <is>
          <t>Registrado 18-may-2026 en NAMECHEAP: $26.98 el 1er año (promo; precio normal $41.98) + Free Domain Privacy GRATIS. Renueva ~19-MAY-2027 (~$41.98/año estimado). Ahí vive el DNS (DMARC/SPF/DKIM/CNAMEs Vercel/SES). ANUAL: renovar o se pierde el dominio. OJO: el dominio VIEJO anunciaya.online expira 23-jul-2026 → DEJAR EXPIRAR (ya migrado a .mx).</t>
        </is>
      </c>
    </row>
    <row r="13" ht="54" customHeight="1">
      <c r="A13" s="4" t="inlineStr">
        <is>
          <t>Migadu (Correo dominio)</t>
        </is>
      </c>
      <c r="B13" s="5" t="inlineStr">
        <is>
          <t>Buzones @anunciaya.mx</t>
        </is>
      </c>
      <c r="C13" s="5" t="inlineStr">
        <is>
          <t>Mini ($9/mes)</t>
        </is>
      </c>
      <c r="D13" s="6" t="n">
        <v>9</v>
      </c>
      <c r="E13" s="7" t="inlineStr">
        <is>
          <t>Mini</t>
        </is>
      </c>
      <c r="F13" s="6" t="n">
        <v>9</v>
      </c>
      <c r="G13" s="5" t="inlineStr">
        <is>
          <t>USD</t>
        </is>
      </c>
      <c r="H13" s="5" t="inlineStr">
        <is>
          <t>Mensual · renueva día 4</t>
        </is>
      </c>
      <c r="I13" s="5" t="inlineStr">
        <is>
          <t>MasterCard …3923</t>
        </is>
      </c>
      <c r="J13" s="5" t="inlineStr">
        <is>
          <t>Plan Mini mensual $9/mes (1000 correos in/día, 100 out/día, 30 GB, dominios/direcciones ilimitados). Renueva mensual (próx. 4-jul-2026). Servidor en Suiza. TIP de ahorro: el plan anual cuesta $90/año (=$7.50/mes, ahorra $18/año) si quieres cambiarlo.</t>
        </is>
      </c>
    </row>
    <row r="14" ht="54" customHeight="1">
      <c r="A14" s="8" t="inlineStr">
        <is>
          <t>Gemini API (Coyo IA)</t>
        </is>
      </c>
      <c r="B14" s="9" t="inlineStr">
        <is>
          <t>Asistente Coyo del Home</t>
        </is>
      </c>
      <c r="C14" s="9" t="inlineStr">
        <is>
          <t>Por uso (~$0.07/mes)</t>
        </is>
      </c>
      <c r="D14" s="13" t="inlineStr">
        <is>
          <t>~$0.07/mes</t>
        </is>
      </c>
      <c r="E14" s="7" t="inlineStr">
        <is>
          <t>Por uso</t>
        </is>
      </c>
      <c r="F14" s="13" t="inlineStr">
        <is>
          <t>Variable</t>
        </is>
      </c>
      <c r="G14" s="9" t="inlineStr">
        <is>
          <t>USD</t>
        </is>
      </c>
      <c r="H14" s="9" t="inlineStr">
        <is>
          <t>Por uso</t>
        </is>
      </c>
      <c r="I14" s="9" t="inlineStr">
        <is>
          <t>MasterCard …3923</t>
        </is>
      </c>
      <c r="J14" s="9" t="inlineStr">
        <is>
          <t>Por tokens (gemini 2.5 flash). HOY ~$0.07 USD/mes (centavos, sin usuarios; forecast del mes = $0). Se paga PRIMERO con créditos PREPAGO de AI Studio (MXN 189.34 restantes de MXN 200 agregados 31-may; vencen ~1 año) → $0 de la tarjeta hasta agotarlos. Al agotarse, cobra pospago a la tarjeta 3923. Vigilar si Coyo se usa mucho en la beta.</t>
        </is>
      </c>
    </row>
    <row r="15" ht="54" customHeight="1">
      <c r="A15" s="14" t="inlineStr">
        <is>
          <t>CapCut Pro</t>
        </is>
      </c>
      <c r="B15" s="5" t="inlineStr">
        <is>
          <t>[TRABAJO] Edición de video</t>
        </is>
      </c>
      <c r="C15" s="15" t="inlineStr">
        <is>
          <t>Pro</t>
        </is>
      </c>
      <c r="D15" s="16" t="n">
        <v>330</v>
      </c>
      <c r="E15" s="15" t="inlineStr">
        <is>
          <t>Pro</t>
        </is>
      </c>
      <c r="F15" s="16" t="n">
        <v>330</v>
      </c>
      <c r="G15" s="5" t="inlineStr">
        <is>
          <t>MXN</t>
        </is>
      </c>
      <c r="H15" s="5" t="inlineStr">
        <is>
          <t>Mensual · renueva 19-jul</t>
        </is>
      </c>
      <c r="I15" s="15" t="inlineStr">
        <is>
          <t>MasterCard …3923</t>
        </is>
      </c>
      <c r="J15" s="5" t="inlineStr">
        <is>
          <t>HERRAMIENTA DE TRABAJO/CONTENIDO. CapCut Pro $330 MXN/mes (renueva 19-jul-2026): 1 TB de almacenamiento + 1250 créditos/mes + activos y plantillas de pago.</t>
        </is>
      </c>
    </row>
    <row r="16" ht="54" customHeight="1">
      <c r="A16" s="14" t="inlineStr">
        <is>
          <t>Google AI Pro (Google One)</t>
        </is>
      </c>
      <c r="B16" s="9" t="inlineStr">
        <is>
          <t>[TRABAJO] IA para imágenes/contenido</t>
        </is>
      </c>
      <c r="C16" s="15" t="inlineStr">
        <is>
          <t>Pro 5 TB</t>
        </is>
      </c>
      <c r="D16" s="16" t="n">
        <v>395</v>
      </c>
      <c r="E16" s="15" t="inlineStr">
        <is>
          <t>Pro 5 TB</t>
        </is>
      </c>
      <c r="F16" s="16" t="n">
        <v>395</v>
      </c>
      <c r="G16" s="9" t="inlineStr">
        <is>
          <t>MXN</t>
        </is>
      </c>
      <c r="H16" s="9" t="inlineStr">
        <is>
          <t>Mensual · renueva día 30</t>
        </is>
      </c>
      <c r="I16" s="15" t="inlineStr">
        <is>
          <t>MasterCard …3923</t>
        </is>
      </c>
      <c r="J16" s="9" t="inlineStr">
        <is>
          <t>HERRAMIENTA DE TRABAJO/CONTENIDO. Google AI Pro (Google One) $395 MXN/mes: 5 TB + Gemini avanzado (4x) + Google Flow/modelos creativos + NotebookLM + Gemini en Gmail/Docs. Renueva día 30 (el 1er mes fue $40 de promo). NO confundir con la Gemini API de Coyo (esa es aparte, por tokens). TIP: plan anual $3,949 MXN/año (ahorra 16%).</t>
        </is>
      </c>
    </row>
    <row r="17" ht="54" customHeight="1">
      <c r="A17" s="14" t="inlineStr">
        <is>
          <t>Canva Business</t>
        </is>
      </c>
      <c r="B17" s="5" t="inlineStr">
        <is>
          <t>[TRABAJO] Diseño gráfico/contenido</t>
        </is>
      </c>
      <c r="C17" s="15" t="inlineStr">
        <is>
          <t>Business</t>
        </is>
      </c>
      <c r="D17" s="16" t="n">
        <v>210</v>
      </c>
      <c r="E17" s="15" t="inlineStr">
        <is>
          <t>Business</t>
        </is>
      </c>
      <c r="F17" s="16" t="n">
        <v>210</v>
      </c>
      <c r="G17" s="5" t="inlineStr">
        <is>
          <t>MXN</t>
        </is>
      </c>
      <c r="H17" s="5" t="inlineStr">
        <is>
          <t>Mensual · renueva 13-jul</t>
        </is>
      </c>
      <c r="I17" s="15" t="inlineStr">
        <is>
          <t>MasterCard …3923</t>
        </is>
      </c>
      <c r="J17" s="5" t="inlineStr">
        <is>
          <t>HERRAMIENTA DE TRABAJO/CONTENIDO. Canva Business $210 MXN/mes (renovación automática, próx. 13-jul-2026): 1 integrante. TIP: cambiar a anual ahorra 16%.</t>
        </is>
      </c>
    </row>
    <row r="18" ht="54" customHeight="1">
      <c r="A18" s="14" t="inlineStr">
        <is>
          <t>Claude (Plan Max)</t>
        </is>
      </c>
      <c r="B18" s="9" t="inlineStr">
        <is>
          <t>[TRABAJO] Asistente de desarrollo/IA</t>
        </is>
      </c>
      <c r="C18" s="15" t="inlineStr">
        <is>
          <t>Max (5x Pro)</t>
        </is>
      </c>
      <c r="D18" s="16" t="n">
        <v>100</v>
      </c>
      <c r="E18" s="15" t="inlineStr">
        <is>
          <t>Max (5x Pro)</t>
        </is>
      </c>
      <c r="F18" s="16" t="n">
        <v>100</v>
      </c>
      <c r="G18" s="9" t="inlineStr">
        <is>
          <t>USD</t>
        </is>
      </c>
      <c r="H18" s="9" t="inlineStr">
        <is>
          <t>Mensual · renueva 12-jul</t>
        </is>
      </c>
      <c r="I18" s="15" t="inlineStr">
        <is>
          <t>MasterCard …3923</t>
        </is>
      </c>
      <c r="J18" s="9" t="inlineStr">
        <is>
          <t>HERRAMIENTA DE TRABAJO/CONTENIDO. Claude Plan Max $100 USD/mes (5x uso vs Pro; renovación automática, próx. 12-jul-2026). Se paga vía Link by Stripe con la tarjeta 3923. OJO: única herramienta de contenido en USD (las otras 3 son MXN).</t>
        </is>
      </c>
    </row>
    <row r="19" ht="54" customHeight="1">
      <c r="A19" s="4" t="inlineStr">
        <is>
          <t>Sentry (Error tracking)</t>
        </is>
      </c>
      <c r="B19" s="5" t="inlineStr">
        <is>
          <t>Monitoreo de errores en prod (frontend + backend)</t>
        </is>
      </c>
      <c r="C19" s="5" t="inlineStr">
        <is>
          <t>Developer (gratis)</t>
        </is>
      </c>
      <c r="D19" s="6" t="n">
        <v>0</v>
      </c>
      <c r="E19" s="7" t="inlineStr">
        <is>
          <t>Developer (gratis) - se mantiene; subir a Team solo si supera 5k errores/mes</t>
        </is>
      </c>
      <c r="F19" s="6" t="n">
        <v>0</v>
      </c>
      <c r="G19" s="5" t="inlineStr">
        <is>
          <t>USD</t>
        </is>
      </c>
      <c r="H19" s="5" t="inlineStr">
        <is>
          <t>Mensual</t>
        </is>
      </c>
      <c r="I19" s="5" t="inlineStr">
        <is>
          <t>N/A (gratis)</t>
        </is>
      </c>
      <c r="J19" s="5" t="inlineStr">
        <is>
          <t>HECHO 8-jul: error tracking en api/web/admin, SOLO en prod. Gratis = 5,000 errores/mes, 1 usuario, sin tarjeta. Org anunciaya en sentry.io, 3 proyectos (api/web/admin). Alertas por correo a admin@anunciaya.mx. REACCIONAR: si en la beta se pasan los ~5k errores/mes, subir a Team (~$26-29/mes, por confirmar). Ver docs/DESPLIEGUE_PRODUCCION.md.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6" customWidth="1" min="4" max="4"/>
    <col width="20" customWidth="1" min="5" max="5"/>
  </cols>
  <sheetData>
    <row r="1">
      <c r="A1" s="1" t="inlineStr">
        <is>
          <t>Resumen de Egresos FIJOS mensuales — AnunciaYA</t>
        </is>
      </c>
    </row>
    <row r="3">
      <c r="A3" s="17" t="inlineStr">
        <is>
          <t>ESCENARIO A — HOY (fase de pruebas, sin usuarios)</t>
        </is>
      </c>
    </row>
    <row r="4">
      <c r="A4" s="3" t="inlineStr">
        <is>
          <t>Servicio</t>
        </is>
      </c>
      <c r="B4" s="3" t="inlineStr">
        <is>
          <t>Costo</t>
        </is>
      </c>
      <c r="C4" s="3" t="inlineStr">
        <is>
          <t>Notas</t>
        </is>
      </c>
    </row>
    <row r="5">
      <c r="A5" s="4" t="inlineStr">
        <is>
          <t>Render (Starter)</t>
        </is>
      </c>
      <c r="B5" s="6" t="n">
        <v>7</v>
      </c>
      <c r="C5" s="5" t="inlineStr">
        <is>
          <t>Server siempre activo</t>
        </is>
      </c>
    </row>
    <row r="6">
      <c r="A6" s="8" t="inlineStr">
        <is>
          <t>Vercel (Hobby)</t>
        </is>
      </c>
      <c r="B6" s="10" t="n">
        <v>0</v>
      </c>
      <c r="C6" s="9" t="inlineStr">
        <is>
          <t>Gratis</t>
        </is>
      </c>
    </row>
    <row r="7">
      <c r="A7" s="4" t="inlineStr">
        <is>
          <t>Supabase (Free)</t>
        </is>
      </c>
      <c r="B7" s="6" t="n">
        <v>0</v>
      </c>
      <c r="C7" s="5" t="inlineStr">
        <is>
          <t>Aguanta pruebas</t>
        </is>
      </c>
    </row>
    <row r="8">
      <c r="A8" s="8" t="inlineStr">
        <is>
          <t>Upstash (Fixed)</t>
        </is>
      </c>
      <c r="B8" s="10" t="n">
        <v>10</v>
      </c>
      <c r="C8" s="9" t="inlineStr">
        <is>
          <t>Base prod separada; $10 fijo/mes (contratado 2-jul)</t>
        </is>
      </c>
    </row>
    <row r="9">
      <c r="A9" s="18" t="inlineStr">
        <is>
          <t>TOTAL HOY (USD/mes)</t>
        </is>
      </c>
      <c r="B9" s="19">
        <f>SUM(B5:B8)</f>
        <v/>
      </c>
      <c r="C9" s="20" t="n"/>
    </row>
    <row r="12">
      <c r="A12" s="21" t="inlineStr">
        <is>
          <t>ESCENARIO B — AL PROMOVER (decisión: subir antes de abrir a usuarios reales)</t>
        </is>
      </c>
    </row>
    <row r="13">
      <c r="A13" s="3" t="inlineStr">
        <is>
          <t>Servicio</t>
        </is>
      </c>
      <c r="B13" s="3" t="inlineStr">
        <is>
          <t>Costo</t>
        </is>
      </c>
      <c r="C13" s="3" t="inlineStr">
        <is>
          <t>Notas</t>
        </is>
      </c>
    </row>
    <row r="14">
      <c r="A14" s="8" t="inlineStr">
        <is>
          <t>Render (Starter → Standard si hace falta)</t>
        </is>
      </c>
      <c r="B14" s="10" t="n">
        <v>7</v>
      </c>
      <c r="C14" s="9" t="inlineStr">
        <is>
          <t>Reaccionar por Metrics; $25 si RAM&gt;80%</t>
        </is>
      </c>
    </row>
    <row r="15">
      <c r="A15" s="4" t="inlineStr">
        <is>
          <t>Vercel (Pro)</t>
        </is>
      </c>
      <c r="B15" s="6" t="n">
        <v>20</v>
      </c>
      <c r="C15" s="5" t="inlineStr">
        <is>
          <t>Uso comercial + bandwidth</t>
        </is>
      </c>
    </row>
    <row r="16">
      <c r="A16" s="8" t="inlineStr">
        <is>
          <t>Supabase (Pro)</t>
        </is>
      </c>
      <c r="B16" s="10" t="n">
        <v>25</v>
      </c>
      <c r="C16" s="9" t="inlineStr">
        <is>
          <t>Backups + no se degrada</t>
        </is>
      </c>
    </row>
    <row r="17">
      <c r="A17" s="4" t="inlineStr">
        <is>
          <t>Upstash (Fixed)</t>
        </is>
      </c>
      <c r="B17" s="6" t="n">
        <v>10</v>
      </c>
      <c r="C17" s="5" t="inlineStr">
        <is>
          <t>$10 fijo/mes (base prod separada, ya contratado)</t>
        </is>
      </c>
    </row>
    <row r="18">
      <c r="A18" s="18" t="inlineStr">
        <is>
          <t>TOTAL AL PROMOVER (USD/mes)</t>
        </is>
      </c>
      <c r="B18" s="22">
        <f>SUM(B14:B17)</f>
        <v/>
      </c>
      <c r="C18" s="20" t="n"/>
    </row>
    <row r="19">
      <c r="A19" s="2" t="inlineStr">
        <is>
          <t>(Si Render pasa a Standard: ~$80/mes)</t>
        </is>
      </c>
    </row>
    <row r="21" ht="60" customHeight="1">
      <c r="A21" s="23" t="inlineStr">
        <is>
          <t>ADEMÁS: Stripe (comisiones por cobro ~3.6%+$3+IVA) · AWS SES (~$0.10/1000 correos) · Cloudflare R2 (10GB gratis, luego ~$0.015/GB) · Gemini/Coyo (~$0.07/mes, hoy cubierto por créditos prepago de AI Studio) · Sentry (error tracking: gratis hasta 5,000 errores/mes; sube a Team ~$26-29/mes solo si supera la cuota). Correo MENSUAL: Migadu $9/mes (renueva día 4). ANUAL: dominio anunciaya.mx ~$42/año (renueva 19-may-2027; NO renovar el viejo anunciaya.online, expira 23-jul-2026). Servicios en USD: multiplicar por tipo de cambio para tu contabilidad en MXN.</t>
        </is>
      </c>
    </row>
    <row r="23">
      <c r="A23" s="24" t="inlineStr">
        <is>
          <t>HERRAMIENTAS DE TRABAJO / CONTENIDO (marketing — no es infra de la app)</t>
        </is>
      </c>
    </row>
    <row r="24">
      <c r="A24" s="3" t="inlineStr">
        <is>
          <t>Herramienta</t>
        </is>
      </c>
      <c r="B24" s="3" t="inlineStr">
        <is>
          <t>Costo</t>
        </is>
      </c>
      <c r="C24" s="3" t="inlineStr">
        <is>
          <t>Moneda</t>
        </is>
      </c>
      <c r="D24" s="3" t="inlineStr">
        <is>
          <t>Frecuencia</t>
        </is>
      </c>
      <c r="E24" s="3" t="inlineStr">
        <is>
          <t>Tarjeta</t>
        </is>
      </c>
    </row>
    <row r="25">
      <c r="A25" s="14" t="inlineStr">
        <is>
          <t>CapCut Pro</t>
        </is>
      </c>
      <c r="B25" s="16" t="n">
        <v>330</v>
      </c>
      <c r="C25" s="15" t="inlineStr">
        <is>
          <t>MXN</t>
        </is>
      </c>
      <c r="D25" s="5" t="inlineStr">
        <is>
          <t>Mensual · renueva 19-jul</t>
        </is>
      </c>
      <c r="E25" s="5" t="inlineStr">
        <is>
          <t>MasterCard …3923</t>
        </is>
      </c>
    </row>
    <row r="26">
      <c r="A26" s="14" t="inlineStr">
        <is>
          <t>Google AI Pro (Google One)</t>
        </is>
      </c>
      <c r="B26" s="16" t="n">
        <v>395</v>
      </c>
      <c r="C26" s="15" t="inlineStr">
        <is>
          <t>MXN</t>
        </is>
      </c>
      <c r="D26" s="9" t="inlineStr">
        <is>
          <t>Mensual · renueva día 30</t>
        </is>
      </c>
      <c r="E26" s="9" t="inlineStr">
        <is>
          <t>MasterCard …3923</t>
        </is>
      </c>
    </row>
    <row r="27">
      <c r="A27" s="14" t="inlineStr">
        <is>
          <t>Canva Business</t>
        </is>
      </c>
      <c r="B27" s="16" t="n">
        <v>210</v>
      </c>
      <c r="C27" s="15" t="inlineStr">
        <is>
          <t>MXN</t>
        </is>
      </c>
      <c r="D27" s="5" t="inlineStr">
        <is>
          <t>Mensual · renueva 13-jul</t>
        </is>
      </c>
      <c r="E27" s="5" t="inlineStr">
        <is>
          <t>MasterCard …3923</t>
        </is>
      </c>
    </row>
    <row r="28">
      <c r="A28" s="14" t="inlineStr">
        <is>
          <t>Claude (Plan Max)</t>
        </is>
      </c>
      <c r="B28" s="16" t="n">
        <v>100</v>
      </c>
      <c r="C28" s="15" t="inlineStr">
        <is>
          <t>USD</t>
        </is>
      </c>
      <c r="D28" s="9" t="inlineStr">
        <is>
          <t>Mensual · renueva 12-jul</t>
        </is>
      </c>
      <c r="E28" s="9" t="inlineStr">
        <is>
          <t>MasterCard …3923</t>
        </is>
      </c>
    </row>
    <row r="29">
      <c r="A29" s="18" t="inlineStr">
        <is>
          <t>Subtotal contenido (MXN/mes)</t>
        </is>
      </c>
      <c r="B29" s="19">
        <f>SUM(B25:B27)</f>
        <v/>
      </c>
      <c r="C29" s="18" t="inlineStr">
        <is>
          <t>MXN</t>
        </is>
      </c>
      <c r="D29" s="20" t="n"/>
      <c r="E29" s="20" t="n"/>
    </row>
    <row r="30">
      <c r="A30" s="18" t="inlineStr">
        <is>
          <t>Subtotal contenido (USD/mes)</t>
        </is>
      </c>
      <c r="B30" s="19">
        <f>B28</f>
        <v/>
      </c>
      <c r="C30" s="18" t="inlineStr">
        <is>
          <t>USD</t>
        </is>
      </c>
      <c r="D30" s="20" t="n"/>
      <c r="E30" s="20" t="n"/>
    </row>
  </sheetData>
  <mergeCells count="2">
    <mergeCell ref="A1:C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2026-07-03T20:50:26Z</dcterms:created>
  <dcterms:modified xsi:type="dcterms:W3CDTF">2026-07-08T20:46:04Z</dcterms:modified>
</cp:coreProperties>
</file>