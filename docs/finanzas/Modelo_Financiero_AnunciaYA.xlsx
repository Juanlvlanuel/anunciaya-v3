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nunciaYA\anunciaya\docs\finanzas\"/>
    </mc:Choice>
  </mc:AlternateContent>
  <xr:revisionPtr revIDLastSave="0" documentId="13_ncr:1_{B81A5E4D-228F-4635-809B-8A5EED423CF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puestos" sheetId="1" r:id="rId1"/>
    <sheet name="Proyección Puerto Peñas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2" l="1"/>
  <c r="L66" i="2"/>
  <c r="M65" i="2"/>
  <c r="K65" i="2"/>
  <c r="M64" i="2"/>
  <c r="L64" i="2"/>
  <c r="J64" i="2"/>
  <c r="M63" i="2"/>
  <c r="L63" i="2"/>
  <c r="K63" i="2"/>
  <c r="I63" i="2"/>
  <c r="M62" i="2"/>
  <c r="L62" i="2"/>
  <c r="K62" i="2"/>
  <c r="J62" i="2"/>
  <c r="H62" i="2"/>
  <c r="M61" i="2"/>
  <c r="L61" i="2"/>
  <c r="K61" i="2"/>
  <c r="J61" i="2"/>
  <c r="I61" i="2"/>
  <c r="G61" i="2"/>
  <c r="M60" i="2"/>
  <c r="L60" i="2"/>
  <c r="K60" i="2"/>
  <c r="J60" i="2"/>
  <c r="I60" i="2"/>
  <c r="H60" i="2"/>
  <c r="F60" i="2"/>
  <c r="M59" i="2"/>
  <c r="L59" i="2"/>
  <c r="K59" i="2"/>
  <c r="J59" i="2"/>
  <c r="I59" i="2"/>
  <c r="H59" i="2"/>
  <c r="G59" i="2"/>
  <c r="E59" i="2"/>
  <c r="M58" i="2"/>
  <c r="L58" i="2"/>
  <c r="K58" i="2"/>
  <c r="J58" i="2"/>
  <c r="I58" i="2"/>
  <c r="H58" i="2"/>
  <c r="G58" i="2"/>
  <c r="F58" i="2"/>
  <c r="D58" i="2"/>
  <c r="M57" i="2"/>
  <c r="L57" i="2"/>
  <c r="K57" i="2"/>
  <c r="J57" i="2"/>
  <c r="I57" i="2"/>
  <c r="H57" i="2"/>
  <c r="G57" i="2"/>
  <c r="F57" i="2"/>
  <c r="E57" i="2"/>
  <c r="C57" i="2"/>
  <c r="C68" i="2" s="1"/>
  <c r="C21" i="2" s="1"/>
  <c r="M56" i="2"/>
  <c r="L56" i="2"/>
  <c r="K56" i="2"/>
  <c r="J56" i="2"/>
  <c r="I56" i="2"/>
  <c r="H56" i="2"/>
  <c r="G56" i="2"/>
  <c r="G68" i="2" s="1"/>
  <c r="G21" i="2" s="1"/>
  <c r="F56" i="2"/>
  <c r="F68" i="2" s="1"/>
  <c r="F21" i="2" s="1"/>
  <c r="E56" i="2"/>
  <c r="D56" i="2"/>
  <c r="B56" i="2"/>
  <c r="B68" i="2" s="1"/>
  <c r="B21" i="2" s="1"/>
  <c r="M52" i="2"/>
  <c r="L51" i="2"/>
  <c r="K50" i="2"/>
  <c r="M49" i="2"/>
  <c r="J49" i="2"/>
  <c r="M48" i="2"/>
  <c r="L48" i="2"/>
  <c r="I48" i="2"/>
  <c r="M47" i="2"/>
  <c r="L47" i="2"/>
  <c r="K47" i="2"/>
  <c r="H47" i="2"/>
  <c r="M46" i="2"/>
  <c r="L46" i="2"/>
  <c r="K46" i="2"/>
  <c r="J46" i="2"/>
  <c r="G46" i="2"/>
  <c r="M45" i="2"/>
  <c r="L45" i="2"/>
  <c r="K45" i="2"/>
  <c r="J45" i="2"/>
  <c r="I45" i="2"/>
  <c r="F45" i="2"/>
  <c r="M44" i="2"/>
  <c r="L44" i="2"/>
  <c r="K44" i="2"/>
  <c r="J44" i="2"/>
  <c r="I44" i="2"/>
  <c r="H44" i="2"/>
  <c r="E44" i="2"/>
  <c r="M43" i="2"/>
  <c r="L43" i="2"/>
  <c r="K43" i="2"/>
  <c r="J43" i="2"/>
  <c r="I43" i="2"/>
  <c r="H43" i="2"/>
  <c r="G43" i="2"/>
  <c r="D43" i="2"/>
  <c r="D53" i="2" s="1"/>
  <c r="D19" i="2" s="1"/>
  <c r="D20" i="2" s="1"/>
  <c r="M42" i="2"/>
  <c r="L42" i="2"/>
  <c r="K42" i="2"/>
  <c r="J42" i="2"/>
  <c r="I42" i="2"/>
  <c r="H42" i="2"/>
  <c r="G42" i="2"/>
  <c r="F42" i="2"/>
  <c r="C42" i="2"/>
  <c r="C53" i="2" s="1"/>
  <c r="C19" i="2" s="1"/>
  <c r="C20" i="2" s="1"/>
  <c r="M41" i="2"/>
  <c r="L41" i="2"/>
  <c r="K41" i="2"/>
  <c r="J41" i="2"/>
  <c r="J53" i="2" s="1"/>
  <c r="J19" i="2" s="1"/>
  <c r="J20" i="2" s="1"/>
  <c r="I41" i="2"/>
  <c r="I53" i="2" s="1"/>
  <c r="I19" i="2" s="1"/>
  <c r="I20" i="2" s="1"/>
  <c r="H41" i="2"/>
  <c r="H53" i="2" s="1"/>
  <c r="H19" i="2" s="1"/>
  <c r="H20" i="2" s="1"/>
  <c r="G41" i="2"/>
  <c r="F41" i="2"/>
  <c r="F53" i="2" s="1"/>
  <c r="F19" i="2" s="1"/>
  <c r="F20" i="2" s="1"/>
  <c r="E41" i="2"/>
  <c r="E53" i="2" s="1"/>
  <c r="E19" i="2" s="1"/>
  <c r="E20" i="2" s="1"/>
  <c r="B41" i="2"/>
  <c r="B53" i="2" s="1"/>
  <c r="B19" i="2" s="1"/>
  <c r="B13" i="2"/>
  <c r="C13" i="2" s="1"/>
  <c r="I10" i="2"/>
  <c r="M9" i="2"/>
  <c r="M36" i="2" s="1"/>
  <c r="L9" i="2"/>
  <c r="L26" i="2" s="1"/>
  <c r="K9" i="2"/>
  <c r="K26" i="2" s="1"/>
  <c r="J9" i="2"/>
  <c r="J36" i="2" s="1"/>
  <c r="I9" i="2"/>
  <c r="I36" i="2" s="1"/>
  <c r="H9" i="2"/>
  <c r="H36" i="2" s="1"/>
  <c r="G9" i="2"/>
  <c r="G36" i="2" s="1"/>
  <c r="F9" i="2"/>
  <c r="F36" i="2" s="1"/>
  <c r="E9" i="2"/>
  <c r="E36" i="2" s="1"/>
  <c r="D9" i="2"/>
  <c r="D26" i="2" s="1"/>
  <c r="C9" i="2"/>
  <c r="C26" i="2" s="1"/>
  <c r="B9" i="2"/>
  <c r="B36" i="2" s="1"/>
  <c r="M8" i="2"/>
  <c r="M10" i="2" s="1"/>
  <c r="L8" i="2"/>
  <c r="L10" i="2" s="1"/>
  <c r="K8" i="2"/>
  <c r="K10" i="2" s="1"/>
  <c r="J8" i="2"/>
  <c r="I8" i="2"/>
  <c r="H8" i="2"/>
  <c r="G8" i="2"/>
  <c r="F8" i="2"/>
  <c r="F10" i="2" s="1"/>
  <c r="E8" i="2"/>
  <c r="E10" i="2" s="1"/>
  <c r="D8" i="2"/>
  <c r="D10" i="2" s="1"/>
  <c r="C8" i="2"/>
  <c r="C10" i="2" s="1"/>
  <c r="B8" i="2"/>
  <c r="M4" i="2"/>
  <c r="L4" i="2"/>
  <c r="K4" i="2"/>
  <c r="J4" i="2"/>
  <c r="I4" i="2"/>
  <c r="H4" i="2"/>
  <c r="G4" i="2"/>
  <c r="F4" i="2"/>
  <c r="E4" i="2"/>
  <c r="D4" i="2"/>
  <c r="C4" i="2"/>
  <c r="B4" i="2"/>
  <c r="M28" i="1"/>
  <c r="L28" i="1"/>
  <c r="K28" i="1"/>
  <c r="J28" i="1"/>
  <c r="I28" i="1"/>
  <c r="H28" i="1"/>
  <c r="G28" i="1"/>
  <c r="F28" i="1"/>
  <c r="E28" i="1"/>
  <c r="D28" i="1"/>
  <c r="C28" i="1"/>
  <c r="B28" i="1"/>
  <c r="N28" i="1" s="1"/>
  <c r="N27" i="1"/>
  <c r="N26" i="1"/>
  <c r="H26" i="2" l="1"/>
  <c r="H68" i="2"/>
  <c r="H21" i="2" s="1"/>
  <c r="L53" i="2"/>
  <c r="L19" i="2" s="1"/>
  <c r="L20" i="2" s="1"/>
  <c r="I68" i="2"/>
  <c r="I21" i="2" s="1"/>
  <c r="I27" i="2" s="1"/>
  <c r="H10" i="2"/>
  <c r="M53" i="2"/>
  <c r="M19" i="2" s="1"/>
  <c r="M20" i="2" s="1"/>
  <c r="J68" i="2"/>
  <c r="J21" i="2" s="1"/>
  <c r="J22" i="2" s="1"/>
  <c r="J23" i="2" s="1"/>
  <c r="K68" i="2"/>
  <c r="K21" i="2" s="1"/>
  <c r="K22" i="2" s="1"/>
  <c r="K23" i="2" s="1"/>
  <c r="K53" i="2"/>
  <c r="K19" i="2" s="1"/>
  <c r="K20" i="2" s="1"/>
  <c r="N8" i="2"/>
  <c r="N9" i="2"/>
  <c r="G53" i="2"/>
  <c r="G19" i="2" s="1"/>
  <c r="G20" i="2" s="1"/>
  <c r="D68" i="2"/>
  <c r="D21" i="2" s="1"/>
  <c r="D27" i="2" s="1"/>
  <c r="L68" i="2"/>
  <c r="L21" i="2" s="1"/>
  <c r="L22" i="2" s="1"/>
  <c r="L23" i="2" s="1"/>
  <c r="G10" i="2"/>
  <c r="E68" i="2"/>
  <c r="E21" i="2" s="1"/>
  <c r="E22" i="2" s="1"/>
  <c r="E23" i="2" s="1"/>
  <c r="M68" i="2"/>
  <c r="M21" i="2" s="1"/>
  <c r="G27" i="2"/>
  <c r="G22" i="2"/>
  <c r="G23" i="2" s="1"/>
  <c r="H22" i="2"/>
  <c r="H23" i="2" s="1"/>
  <c r="H27" i="2"/>
  <c r="F22" i="2"/>
  <c r="F27" i="2"/>
  <c r="I22" i="2"/>
  <c r="I23" i="2" s="1"/>
  <c r="C23" i="2"/>
  <c r="B22" i="2"/>
  <c r="B27" i="2"/>
  <c r="C27" i="2"/>
  <c r="C22" i="2"/>
  <c r="D13" i="2"/>
  <c r="F23" i="2"/>
  <c r="D22" i="2"/>
  <c r="D23" i="2" s="1"/>
  <c r="B20" i="2"/>
  <c r="M22" i="2"/>
  <c r="M23" i="2" s="1"/>
  <c r="M27" i="2"/>
  <c r="E26" i="2"/>
  <c r="M26" i="2"/>
  <c r="C36" i="2"/>
  <c r="K36" i="2"/>
  <c r="F26" i="2"/>
  <c r="D36" i="2"/>
  <c r="L36" i="2"/>
  <c r="G26" i="2"/>
  <c r="B10" i="2"/>
  <c r="J10" i="2"/>
  <c r="I26" i="2"/>
  <c r="B26" i="2"/>
  <c r="J26" i="2"/>
  <c r="B14" i="2"/>
  <c r="E27" i="2" l="1"/>
  <c r="N27" i="2" s="1"/>
  <c r="N21" i="2"/>
  <c r="J27" i="2"/>
  <c r="N36" i="2"/>
  <c r="L27" i="2"/>
  <c r="K27" i="2"/>
  <c r="N19" i="2"/>
  <c r="N10" i="2"/>
  <c r="N20" i="2"/>
  <c r="B23" i="2"/>
  <c r="E13" i="2"/>
  <c r="N22" i="2"/>
  <c r="C14" i="2"/>
  <c r="B15" i="2"/>
  <c r="B16" i="2"/>
  <c r="B28" i="2" s="1"/>
  <c r="B29" i="2" s="1"/>
  <c r="N26" i="2"/>
  <c r="B30" i="2" l="1"/>
  <c r="F13" i="2"/>
  <c r="N23" i="2"/>
  <c r="C16" i="2"/>
  <c r="C28" i="2" s="1"/>
  <c r="C29" i="2" s="1"/>
  <c r="C30" i="2" s="1"/>
  <c r="C33" i="2" s="1"/>
  <c r="D14" i="2"/>
  <c r="C15" i="2"/>
  <c r="D16" i="2" l="1"/>
  <c r="D28" i="2" s="1"/>
  <c r="D29" i="2" s="1"/>
  <c r="D30" i="2" s="1"/>
  <c r="D33" i="2" s="1"/>
  <c r="E14" i="2"/>
  <c r="D15" i="2"/>
  <c r="B33" i="2"/>
  <c r="G13" i="2"/>
  <c r="H13" i="2" l="1"/>
  <c r="B34" i="2"/>
  <c r="C34" i="2" s="1"/>
  <c r="D34" i="2" s="1"/>
  <c r="E16" i="2"/>
  <c r="E28" i="2" s="1"/>
  <c r="E29" i="2" s="1"/>
  <c r="E30" i="2" s="1"/>
  <c r="E33" i="2" s="1"/>
  <c r="F14" i="2"/>
  <c r="E15" i="2"/>
  <c r="G14" i="2" l="1"/>
  <c r="F16" i="2"/>
  <c r="F28" i="2" s="1"/>
  <c r="F29" i="2" s="1"/>
  <c r="F30" i="2" s="1"/>
  <c r="F33" i="2" s="1"/>
  <c r="F15" i="2"/>
  <c r="E34" i="2"/>
  <c r="I13" i="2"/>
  <c r="J13" i="2" l="1"/>
  <c r="F34" i="2"/>
  <c r="G16" i="2"/>
  <c r="G28" i="2" s="1"/>
  <c r="G29" i="2" s="1"/>
  <c r="G30" i="2" s="1"/>
  <c r="G33" i="2" s="1"/>
  <c r="H14" i="2"/>
  <c r="G15" i="2"/>
  <c r="H16" i="2" l="1"/>
  <c r="H28" i="2" s="1"/>
  <c r="H29" i="2" s="1"/>
  <c r="H30" i="2" s="1"/>
  <c r="H33" i="2" s="1"/>
  <c r="I14" i="2"/>
  <c r="H15" i="2"/>
  <c r="G34" i="2"/>
  <c r="K13" i="2"/>
  <c r="L13" i="2" l="1"/>
  <c r="H34" i="2"/>
  <c r="I16" i="2"/>
  <c r="I28" i="2" s="1"/>
  <c r="I29" i="2" s="1"/>
  <c r="I30" i="2" s="1"/>
  <c r="I33" i="2" s="1"/>
  <c r="J14" i="2"/>
  <c r="I15" i="2"/>
  <c r="K14" i="2" l="1"/>
  <c r="J16" i="2"/>
  <c r="J28" i="2" s="1"/>
  <c r="J29" i="2" s="1"/>
  <c r="J30" i="2" s="1"/>
  <c r="J33" i="2" s="1"/>
  <c r="J15" i="2"/>
  <c r="I34" i="2"/>
  <c r="M13" i="2"/>
  <c r="N13" i="2" l="1"/>
  <c r="J34" i="2"/>
  <c r="K16" i="2"/>
  <c r="K28" i="2" s="1"/>
  <c r="K29" i="2" s="1"/>
  <c r="K30" i="2" s="1"/>
  <c r="K33" i="2" s="1"/>
  <c r="L14" i="2"/>
  <c r="K15" i="2"/>
  <c r="L16" i="2" l="1"/>
  <c r="L28" i="2" s="1"/>
  <c r="L29" i="2" s="1"/>
  <c r="L30" i="2" s="1"/>
  <c r="L33" i="2" s="1"/>
  <c r="M14" i="2"/>
  <c r="L15" i="2"/>
  <c r="K34" i="2"/>
  <c r="L34" i="2" l="1"/>
  <c r="M16" i="2"/>
  <c r="M28" i="2" s="1"/>
  <c r="M29" i="2" s="1"/>
  <c r="N14" i="2"/>
  <c r="M15" i="2"/>
  <c r="N15" i="2" s="1"/>
  <c r="M30" i="2" l="1"/>
  <c r="N29" i="2"/>
  <c r="M33" i="2" l="1"/>
  <c r="N30" i="2"/>
  <c r="N33" i="2" l="1"/>
  <c r="M34" i="2"/>
  <c r="N34" i="2" s="1"/>
</calcChain>
</file>

<file path=xl/sharedStrings.xml><?xml version="1.0" encoding="utf-8"?>
<sst xmlns="http://schemas.openxmlformats.org/spreadsheetml/2006/main" count="94" uniqueCount="76">
  <si>
    <t>AnunciaYA — Supuestos del modelo</t>
  </si>
  <si>
    <t>Ciudad: Puerto Peñasco  ·  Horizonte: 12 meses  ·  Moneda: MXN  ·  Celdas en azul = editables</t>
  </si>
  <si>
    <t>PARÁMETROS</t>
  </si>
  <si>
    <t>Precio de membresía (mensual)</t>
  </si>
  <si>
    <t>Comisión de alta (pago único por negocio de vendedor)</t>
  </si>
  <si>
    <t>Número de vendedores (Etapa 2)</t>
  </si>
  <si>
    <t>Valor publicidad regalada Etapa 2 (3 meses · informativo)</t>
  </si>
  <si>
    <t>Meses que cubre 1 pago — Etapa 1 (cartera propia)</t>
  </si>
  <si>
    <t>Etapa 1: paga al alta y vuelve a pagar desde el mes 4.</t>
  </si>
  <si>
    <t>Meses que cubre 1 pago — Etapa 2 (con vendedor)</t>
  </si>
  <si>
    <t>Etapa 2: paga al alta y vuelve a pagar desde el mes 3.</t>
  </si>
  <si>
    <t>ESCALERA DE COMISIÓN MENSUAL  (plana · por negocio activo del vendedor)</t>
  </si>
  <si>
    <t>Activos desde</t>
  </si>
  <si>
    <t>Activos hasta</t>
  </si>
  <si>
    <t>Comisión / mes</t>
  </si>
  <si>
    <t>+</t>
  </si>
  <si>
    <t>La tarifa del tramo se cobra por CADA negocio activo del vendedor (plana).</t>
  </si>
  <si>
    <t>ALTAS DE NEGOCIOS POR MES  (editable)</t>
  </si>
  <si>
    <t>Mes</t>
  </si>
  <si>
    <t>Total</t>
  </si>
  <si>
    <t>Altas propias (Etapa 1)</t>
  </si>
  <si>
    <t>Altas vendedores (Etapa 2)</t>
  </si>
  <si>
    <t>Total altas</t>
  </si>
  <si>
    <t>Proyección de ingresos — Puerto Peñasco (Año 1)</t>
  </si>
  <si>
    <t>Moneda: MXN  ·  Flujo de caja (ingreso en el mes del cobro)  ·  Verde = enlace a Supuestos</t>
  </si>
  <si>
    <t>Año 1</t>
  </si>
  <si>
    <t>Periodo</t>
  </si>
  <si>
    <t>jul-26</t>
  </si>
  <si>
    <t>ago-26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</si>
  <si>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</si>
  <si>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</si>
  <si>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</si>
  <si>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</si>
  <si>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</si>
  <si>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</si>
  <si>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</si>
  <si>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</si>
  <si>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</si>
  <si>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jun-27</t>
  </si>
  <si>
    <t>ALTAS</t>
  </si>
  <si>
    <t>NEGOCIOS ACTIVOS (acumulado)</t>
  </si>
  <si>
    <t>Activos propios</t>
  </si>
  <si>
    <t>Activos vendedores</t>
  </si>
  <si>
    <t>Total activos</t>
  </si>
  <si>
    <t>Activos por vendedor (para el tramo)</t>
  </si>
  <si>
    <t>INGRESOS (MXN)</t>
  </si>
  <si>
    <t>Pagos propios (#)</t>
  </si>
  <si>
    <t xml:space="preserve">  Ingreso propios ($)</t>
  </si>
  <si>
    <t>Pagos vendedores (#)</t>
  </si>
  <si>
    <t xml:space="preserve">  Ingreso vendedores ($)</t>
  </si>
  <si>
    <t>Ingreso BRUTO ($)</t>
  </si>
  <si>
    <t>COMISIONES A VENDEDORES (MXN)</t>
  </si>
  <si>
    <t>Comisión de alta ($)</t>
  </si>
  <si>
    <t>Recurrentes vendedores (#)</t>
  </si>
  <si>
    <t>Tarifa escalera ($/negocio)</t>
  </si>
  <si>
    <t>Comisión escalera ($)</t>
  </si>
  <si>
    <t>Total COMISIONES ($)</t>
  </si>
  <si>
    <t>RESULTADO (MXN)</t>
  </si>
  <si>
    <t>INGRESO NETO ($)</t>
  </si>
  <si>
    <t>Ingreso neto acumulado ($)</t>
  </si>
  <si>
    <t>Memo · valor publicidad regalada ($, no resta al neto)</t>
  </si>
  <si>
    <t>CÁLCULO DE COHORTES — NO EDITAR</t>
  </si>
  <si>
    <t>Pagos propias · cohorte(fila) × mes(col)</t>
  </si>
  <si>
    <t>Alta mes 1</t>
  </si>
  <si>
    <t>Alta mes 2</t>
  </si>
  <si>
    <t>Alta mes 3</t>
  </si>
  <si>
    <t>Alta mes 4</t>
  </si>
  <si>
    <t>Alta mes 5</t>
  </si>
  <si>
    <t>Alta mes 6</t>
  </si>
  <si>
    <t>Alta mes 7</t>
  </si>
  <si>
    <t>Alta mes 8</t>
  </si>
  <si>
    <t>Alta mes 9</t>
  </si>
  <si>
    <t>Alta mes 10</t>
  </si>
  <si>
    <t>Alta mes 11</t>
  </si>
  <si>
    <t>Alta mes 12</t>
  </si>
  <si>
    <t>Pagos vendedores · cohorte(fila) × mes(col)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</si>
</sst>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&quot;-&quot;"/>
    <numFmt numFmtId="165" formatCode="#,##0;\(#,##0\);&quot;-&quot;"/>
    <numFmt numFmtId="166" formatCode="\$#,##0.00;\(\$#,##0.00\);&quot;-&quot;"/>
    <numFmt numFmtId="167" formatCode="#,##0.0;\(#,##0.0\);&quot;-&quot;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i/>
      <sz val="9"/>
      <color rgb="FF7F7F7F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4" fillId="0" borderId="0" xfId="0" applyFont="1"/>
    <xf numFmtId="16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3" borderId="1" xfId="0" applyFont="1" applyFill="1" applyBorder="1"/>
    <xf numFmtId="0" fontId="4" fillId="0" borderId="1" xfId="0" applyFont="1" applyBorder="1"/>
    <xf numFmtId="165" fontId="4" fillId="0" borderId="1" xfId="0" applyNumberFormat="1" applyFont="1" applyBorder="1" applyAlignment="1">
      <alignment horizontal="center"/>
    </xf>
    <xf numFmtId="0" fontId="8" fillId="0" borderId="1" xfId="0" applyFont="1" applyBorder="1"/>
    <xf numFmtId="165" fontId="8" fillId="0" borderId="1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0" xfId="0" applyFont="1"/>
    <xf numFmtId="164" fontId="7" fillId="4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N30" sqref="N30"/>
    </sheetView>
  </sheetViews>
  <sheetFormatPr baseColWidth="10" defaultColWidth="9.140625" defaultRowHeight="15" x14ac:dyDescent="0.25"/>
  <cols>
    <col min="1" max="1" width="42" customWidth="1"/>
    <col min="2" max="2" width="14.28515625" customWidth="1"/>
    <col min="3" max="3" width="18.85546875" customWidth="1"/>
    <col min="4" max="13" width="9" customWidth="1"/>
    <col min="14" max="14" width="10" customWidth="1"/>
  </cols>
  <sheetData>
    <row r="1" spans="1:14" ht="18" x14ac:dyDescent="0.25">
      <c r="A1" s="1" t="s">
        <v>0</v>
      </c>
    </row>
    <row r="2" spans="1:14" x14ac:dyDescent="0.25">
      <c r="A2" s="2" t="s">
        <v>1</v>
      </c>
    </row>
    <row r="4" spans="1:14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5" t="s">
        <v>3</v>
      </c>
      <c r="C5" s="6">
        <v>864</v>
      </c>
    </row>
    <row r="6" spans="1:14" x14ac:dyDescent="0.25">
      <c r="A6" s="5" t="s">
        <v>4</v>
      </c>
      <c r="C6" s="6">
        <v>400</v>
      </c>
    </row>
    <row r="7" spans="1:14" x14ac:dyDescent="0.25">
      <c r="A7" s="5" t="s">
        <v>5</v>
      </c>
      <c r="C7" s="7">
        <v>3</v>
      </c>
    </row>
    <row r="8" spans="1:14" x14ac:dyDescent="0.25">
      <c r="A8" s="5" t="s">
        <v>6</v>
      </c>
      <c r="C8" s="8">
        <v>537.29999999999995</v>
      </c>
    </row>
    <row r="9" spans="1:14" x14ac:dyDescent="0.25">
      <c r="A9" s="5" t="s">
        <v>7</v>
      </c>
      <c r="C9" s="7">
        <v>3</v>
      </c>
      <c r="D9" s="9" t="s">
        <v>8</v>
      </c>
    </row>
    <row r="10" spans="1:14" x14ac:dyDescent="0.25">
      <c r="A10" s="5" t="s">
        <v>9</v>
      </c>
      <c r="C10" s="7">
        <v>2</v>
      </c>
      <c r="D10" s="9" t="s">
        <v>10</v>
      </c>
    </row>
    <row r="12" spans="1:14" x14ac:dyDescent="0.2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10" t="s">
        <v>12</v>
      </c>
      <c r="B13" s="10" t="s">
        <v>13</v>
      </c>
      <c r="C13" s="10" t="s">
        <v>14</v>
      </c>
    </row>
    <row r="14" spans="1:14" x14ac:dyDescent="0.25">
      <c r="A14" s="7">
        <v>0</v>
      </c>
      <c r="B14" s="7">
        <v>10</v>
      </c>
      <c r="C14" s="6">
        <v>150</v>
      </c>
    </row>
    <row r="15" spans="1:14" x14ac:dyDescent="0.25">
      <c r="A15" s="7">
        <v>11</v>
      </c>
      <c r="B15" s="7">
        <v>20</v>
      </c>
      <c r="C15" s="6">
        <v>160</v>
      </c>
    </row>
    <row r="16" spans="1:14" x14ac:dyDescent="0.25">
      <c r="A16" s="7">
        <v>21</v>
      </c>
      <c r="B16" s="7">
        <v>30</v>
      </c>
      <c r="C16" s="6">
        <v>170</v>
      </c>
    </row>
    <row r="17" spans="1:14" x14ac:dyDescent="0.25">
      <c r="A17" s="7">
        <v>31</v>
      </c>
      <c r="B17" s="7">
        <v>40</v>
      </c>
      <c r="C17" s="6">
        <v>180</v>
      </c>
    </row>
    <row r="18" spans="1:14" x14ac:dyDescent="0.25">
      <c r="A18" s="7">
        <v>41</v>
      </c>
      <c r="B18" s="7">
        <v>50</v>
      </c>
      <c r="C18" s="6">
        <v>190</v>
      </c>
    </row>
    <row r="19" spans="1:14" x14ac:dyDescent="0.25">
      <c r="A19" s="7">
        <v>51</v>
      </c>
      <c r="B19" s="7">
        <v>60</v>
      </c>
      <c r="C19" s="6">
        <v>200</v>
      </c>
    </row>
    <row r="20" spans="1:14" x14ac:dyDescent="0.25">
      <c r="A20" s="7">
        <v>61</v>
      </c>
      <c r="B20" s="7">
        <v>70</v>
      </c>
      <c r="C20" s="6">
        <v>210</v>
      </c>
    </row>
    <row r="21" spans="1:14" x14ac:dyDescent="0.25">
      <c r="A21" s="7">
        <v>71</v>
      </c>
      <c r="B21" s="11" t="s">
        <v>15</v>
      </c>
      <c r="C21" s="6">
        <v>220</v>
      </c>
    </row>
    <row r="22" spans="1:14" x14ac:dyDescent="0.25">
      <c r="A22" s="9" t="s">
        <v>16</v>
      </c>
    </row>
    <row r="24" spans="1:14" x14ac:dyDescent="0.25">
      <c r="A24" s="3" t="s">
        <v>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12" t="s">
        <v>18</v>
      </c>
      <c r="B25" s="10">
        <v>1</v>
      </c>
      <c r="C25" s="10">
        <v>2</v>
      </c>
      <c r="D25" s="10">
        <v>3</v>
      </c>
      <c r="E25" s="10">
        <v>4</v>
      </c>
      <c r="F25" s="10">
        <v>5</v>
      </c>
      <c r="G25" s="10">
        <v>6</v>
      </c>
      <c r="H25" s="10">
        <v>7</v>
      </c>
      <c r="I25" s="10">
        <v>8</v>
      </c>
      <c r="J25" s="10">
        <v>9</v>
      </c>
      <c r="K25" s="10">
        <v>10</v>
      </c>
      <c r="L25" s="10">
        <v>11</v>
      </c>
      <c r="M25" s="10">
        <v>12</v>
      </c>
      <c r="N25" s="10" t="s">
        <v>19</v>
      </c>
    </row>
    <row r="26" spans="1:14" x14ac:dyDescent="0.25">
      <c r="A26" s="13" t="s">
        <v>20</v>
      </c>
      <c r="B26" s="7">
        <v>20</v>
      </c>
      <c r="C26" s="7">
        <v>20</v>
      </c>
      <c r="D26" s="7">
        <v>10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14">
        <f>SUM(B26:M26)</f>
        <v>50</v>
      </c>
    </row>
    <row r="27" spans="1:14" x14ac:dyDescent="0.25">
      <c r="A27" s="13" t="s">
        <v>21</v>
      </c>
      <c r="B27" s="7">
        <v>0</v>
      </c>
      <c r="C27" s="7">
        <v>0</v>
      </c>
      <c r="D27" s="7">
        <v>0</v>
      </c>
      <c r="E27" s="7">
        <v>8</v>
      </c>
      <c r="F27" s="7">
        <v>10</v>
      </c>
      <c r="G27" s="7">
        <v>12</v>
      </c>
      <c r="H27" s="7">
        <v>14</v>
      </c>
      <c r="I27" s="7">
        <v>14</v>
      </c>
      <c r="J27" s="7">
        <v>14</v>
      </c>
      <c r="K27" s="7">
        <v>14</v>
      </c>
      <c r="L27" s="7">
        <v>14</v>
      </c>
      <c r="M27" s="7">
        <v>14</v>
      </c>
      <c r="N27" s="14">
        <f>SUM(B27:M27)</f>
        <v>114</v>
      </c>
    </row>
    <row r="28" spans="1:14" x14ac:dyDescent="0.25">
      <c r="A28" s="15" t="s">
        <v>22</v>
      </c>
      <c r="B28" s="14">
        <f t="shared" ref="B28:M28" si="0">B26+B27</f>
        <v>20</v>
      </c>
      <c r="C28" s="14">
        <f t="shared" si="0"/>
        <v>20</v>
      </c>
      <c r="D28" s="14">
        <f t="shared" si="0"/>
        <v>10</v>
      </c>
      <c r="E28" s="14">
        <f t="shared" si="0"/>
        <v>8</v>
      </c>
      <c r="F28" s="14">
        <f t="shared" si="0"/>
        <v>10</v>
      </c>
      <c r="G28" s="14">
        <f t="shared" si="0"/>
        <v>12</v>
      </c>
      <c r="H28" s="14">
        <f t="shared" si="0"/>
        <v>14</v>
      </c>
      <c r="I28" s="14">
        <f t="shared" si="0"/>
        <v>14</v>
      </c>
      <c r="J28" s="14">
        <f t="shared" si="0"/>
        <v>14</v>
      </c>
      <c r="K28" s="14">
        <f t="shared" si="0"/>
        <v>14</v>
      </c>
      <c r="L28" s="14">
        <f t="shared" si="0"/>
        <v>14</v>
      </c>
      <c r="M28" s="14">
        <f t="shared" si="0"/>
        <v>14</v>
      </c>
      <c r="N28" s="16">
        <f>SUM(B28:M28)</f>
        <v>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8" sqref="B8:D10"/>
    </sheetView>
  </sheetViews>
  <sheetFormatPr baseColWidth="10" defaultColWidth="9.140625" defaultRowHeight="15" x14ac:dyDescent="0.25"/>
  <cols>
    <col min="1" max="1" width="44.5703125" customWidth="1"/>
    <col min="2" max="13" width="10" customWidth="1"/>
    <col min="14" max="14" width="13" customWidth="1"/>
  </cols>
  <sheetData>
    <row r="1" spans="1:14" ht="18" x14ac:dyDescent="0.25">
      <c r="A1" s="1" t="s">
        <v>23</v>
      </c>
    </row>
    <row r="2" spans="1:14" x14ac:dyDescent="0.25">
      <c r="A2" s="2" t="s">
        <v>24</v>
      </c>
    </row>
    <row r="4" spans="1:14" x14ac:dyDescent="0.25">
      <c r="A4" s="17" t="s">
        <v>18</v>
      </c>
      <c r="B4" s="18">
        <f>Supuestos!B25</f>
        <v>1</v>
      </c>
      <c r="C4" s="18">
        <f>Supuestos!C25</f>
        <v>2</v>
      </c>
      <c r="D4" s="18">
        <f>Supuestos!D25</f>
        <v>3</v>
      </c>
      <c r="E4" s="18">
        <f>Supuestos!E25</f>
        <v>4</v>
      </c>
      <c r="F4" s="18">
        <f>Supuestos!F25</f>
        <v>5</v>
      </c>
      <c r="G4" s="18">
        <f>Supuestos!G25</f>
        <v>6</v>
      </c>
      <c r="H4" s="18">
        <f>Supuestos!H25</f>
        <v>7</v>
      </c>
      <c r="I4" s="18">
        <f>Supuestos!I25</f>
        <v>8</v>
      </c>
      <c r="J4" s="18">
        <f>Supuestos!J25</f>
        <v>9</v>
      </c>
      <c r="K4" s="18">
        <f>Supuestos!K25</f>
        <v>10</v>
      </c>
      <c r="L4" s="18">
        <f>Supuestos!L25</f>
        <v>11</v>
      </c>
      <c r="M4" s="18">
        <f>Supuestos!M25</f>
        <v>12</v>
      </c>
      <c r="N4" s="19" t="s">
        <v>25</v>
      </c>
    </row>
    <row r="5" spans="1:14" x14ac:dyDescent="0.25">
      <c r="A5" s="5" t="s">
        <v>26</v>
      </c>
      <c r="B5" s="20" t="s">
        <v>27</v>
      </c>
      <c r="C5" s="20" t="s">
        <v>28</v>
      </c>
      <c r="D5" s="20" t="s">
        <v>29</v>
      </c>
      <c r="E5" s="20" t="s">
        <v>30</v>
      </c>
      <c r="F5" s="20" t="s">
        <v>31</v>
      </c>
      <c r="G5" s="20" t="s">
        <v>32</v>
      </c>
      <c r="H5" s="20" t="s">
        <v>33</v>
      </c>
      <c r="I5" s="20" t="s">
        <v>34</v>
      </c>
      <c r="J5" s="20" t="s">
        <v>35</v>
      </c>
      <c r="K5" s="20" t="s">
        <v>36</v>
      </c>
      <c r="L5" s="20" t="s">
        <v>37</v>
      </c>
      <c r="M5" s="20" t="s">
        <v>38</v>
      </c>
    </row>
    <row r="7" spans="1:14" x14ac:dyDescent="0.25">
      <c r="A7" s="3" t="s">
        <v>39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5" t="s">
        <v>20</v>
      </c>
      <c r="B8" s="21">
        <f>Supuestos!B26</f>
        <v>20</v>
      </c>
      <c r="C8" s="21">
        <f>Supuestos!C26</f>
        <v>20</v>
      </c>
      <c r="D8" s="21">
        <f>Supuestos!D26</f>
        <v>10</v>
      </c>
      <c r="E8" s="21">
        <f>Supuestos!E26</f>
        <v>0</v>
      </c>
      <c r="F8" s="21">
        <f>Supuestos!F26</f>
        <v>0</v>
      </c>
      <c r="G8" s="21">
        <f>Supuestos!G26</f>
        <v>0</v>
      </c>
      <c r="H8" s="21">
        <f>Supuestos!H26</f>
        <v>0</v>
      </c>
      <c r="I8" s="21">
        <f>Supuestos!I26</f>
        <v>0</v>
      </c>
      <c r="J8" s="21">
        <f>Supuestos!J26</f>
        <v>0</v>
      </c>
      <c r="K8" s="21">
        <f>Supuestos!K26</f>
        <v>0</v>
      </c>
      <c r="L8" s="21">
        <f>Supuestos!L26</f>
        <v>0</v>
      </c>
      <c r="M8" s="21">
        <f>Supuestos!M26</f>
        <v>0</v>
      </c>
      <c r="N8" s="22">
        <f>SUM(B8:M8)</f>
        <v>50</v>
      </c>
    </row>
    <row r="9" spans="1:14" x14ac:dyDescent="0.25">
      <c r="A9" s="5" t="s">
        <v>21</v>
      </c>
      <c r="B9" s="21">
        <f>Supuestos!B27</f>
        <v>0</v>
      </c>
      <c r="C9" s="21">
        <f>Supuestos!C27</f>
        <v>0</v>
      </c>
      <c r="D9" s="21">
        <f>Supuestos!D27</f>
        <v>0</v>
      </c>
      <c r="E9" s="21">
        <f>Supuestos!E27</f>
        <v>8</v>
      </c>
      <c r="F9" s="21">
        <f>Supuestos!F27</f>
        <v>10</v>
      </c>
      <c r="G9" s="21">
        <f>Supuestos!G27</f>
        <v>12</v>
      </c>
      <c r="H9" s="21">
        <f>Supuestos!H27</f>
        <v>14</v>
      </c>
      <c r="I9" s="21">
        <f>Supuestos!I27</f>
        <v>14</v>
      </c>
      <c r="J9" s="21">
        <f>Supuestos!J27</f>
        <v>14</v>
      </c>
      <c r="K9" s="21">
        <f>Supuestos!K27</f>
        <v>14</v>
      </c>
      <c r="L9" s="21">
        <f>Supuestos!L27</f>
        <v>14</v>
      </c>
      <c r="M9" s="21">
        <f>Supuestos!M27</f>
        <v>14</v>
      </c>
      <c r="N9" s="22">
        <f>SUM(B9:M9)</f>
        <v>114</v>
      </c>
    </row>
    <row r="10" spans="1:14" x14ac:dyDescent="0.25">
      <c r="A10" s="17" t="s">
        <v>22</v>
      </c>
      <c r="B10" s="22">
        <f t="shared" ref="B10:M10" si="0">B8+B9</f>
        <v>20</v>
      </c>
      <c r="C10" s="22">
        <f t="shared" si="0"/>
        <v>20</v>
      </c>
      <c r="D10" s="22">
        <f t="shared" si="0"/>
        <v>10</v>
      </c>
      <c r="E10" s="22">
        <f t="shared" si="0"/>
        <v>8</v>
      </c>
      <c r="F10" s="22">
        <f t="shared" si="0"/>
        <v>10</v>
      </c>
      <c r="G10" s="22">
        <f t="shared" si="0"/>
        <v>12</v>
      </c>
      <c r="H10" s="22">
        <f t="shared" si="0"/>
        <v>14</v>
      </c>
      <c r="I10" s="22">
        <f t="shared" si="0"/>
        <v>14</v>
      </c>
      <c r="J10" s="22">
        <f t="shared" si="0"/>
        <v>14</v>
      </c>
      <c r="K10" s="22">
        <f t="shared" si="0"/>
        <v>14</v>
      </c>
      <c r="L10" s="22">
        <f t="shared" si="0"/>
        <v>14</v>
      </c>
      <c r="M10" s="22">
        <f t="shared" si="0"/>
        <v>14</v>
      </c>
      <c r="N10" s="23">
        <f>SUM(B10:M10)</f>
        <v>164</v>
      </c>
    </row>
    <row r="12" spans="1:14" x14ac:dyDescent="0.25">
      <c r="A12" s="3" t="s">
        <v>40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5" t="s">
        <v>41</v>
      </c>
      <c r="B13" s="22">
        <f>B8</f>
        <v>20</v>
      </c>
      <c r="C13" s="22">
        <f t="shared" ref="C13:M13" si="1">B13+C8</f>
        <v>40</v>
      </c>
      <c r="D13" s="22">
        <f t="shared" si="1"/>
        <v>50</v>
      </c>
      <c r="E13" s="22">
        <f t="shared" si="1"/>
        <v>50</v>
      </c>
      <c r="F13" s="22">
        <f t="shared" si="1"/>
        <v>50</v>
      </c>
      <c r="G13" s="22">
        <f t="shared" si="1"/>
        <v>50</v>
      </c>
      <c r="H13" s="22">
        <f t="shared" si="1"/>
        <v>50</v>
      </c>
      <c r="I13" s="22">
        <f t="shared" si="1"/>
        <v>50</v>
      </c>
      <c r="J13" s="22">
        <f t="shared" si="1"/>
        <v>50</v>
      </c>
      <c r="K13" s="22">
        <f t="shared" si="1"/>
        <v>50</v>
      </c>
      <c r="L13" s="22">
        <f t="shared" si="1"/>
        <v>50</v>
      </c>
      <c r="M13" s="22">
        <f t="shared" si="1"/>
        <v>50</v>
      </c>
      <c r="N13" s="22">
        <f>M13</f>
        <v>50</v>
      </c>
    </row>
    <row r="14" spans="1:14" x14ac:dyDescent="0.25">
      <c r="A14" s="5" t="s">
        <v>42</v>
      </c>
      <c r="B14" s="22">
        <f>B9</f>
        <v>0</v>
      </c>
      <c r="C14" s="22">
        <f t="shared" ref="C14:M14" si="2">B14+C9</f>
        <v>0</v>
      </c>
      <c r="D14" s="22">
        <f t="shared" si="2"/>
        <v>0</v>
      </c>
      <c r="E14" s="22">
        <f t="shared" si="2"/>
        <v>8</v>
      </c>
      <c r="F14" s="22">
        <f t="shared" si="2"/>
        <v>18</v>
      </c>
      <c r="G14" s="22">
        <f t="shared" si="2"/>
        <v>30</v>
      </c>
      <c r="H14" s="22">
        <f t="shared" si="2"/>
        <v>44</v>
      </c>
      <c r="I14" s="22">
        <f t="shared" si="2"/>
        <v>58</v>
      </c>
      <c r="J14" s="22">
        <f t="shared" si="2"/>
        <v>72</v>
      </c>
      <c r="K14" s="22">
        <f t="shared" si="2"/>
        <v>86</v>
      </c>
      <c r="L14" s="22">
        <f t="shared" si="2"/>
        <v>100</v>
      </c>
      <c r="M14" s="22">
        <f t="shared" si="2"/>
        <v>114</v>
      </c>
      <c r="N14" s="22">
        <f>M14</f>
        <v>114</v>
      </c>
    </row>
    <row r="15" spans="1:14" x14ac:dyDescent="0.25">
      <c r="A15" s="17" t="s">
        <v>43</v>
      </c>
      <c r="B15" s="23">
        <f t="shared" ref="B15:M15" si="3">B13+B14</f>
        <v>20</v>
      </c>
      <c r="C15" s="23">
        <f t="shared" si="3"/>
        <v>40</v>
      </c>
      <c r="D15" s="23">
        <f t="shared" si="3"/>
        <v>50</v>
      </c>
      <c r="E15" s="23">
        <f t="shared" si="3"/>
        <v>58</v>
      </c>
      <c r="F15" s="23">
        <f t="shared" si="3"/>
        <v>68</v>
      </c>
      <c r="G15" s="23">
        <f t="shared" si="3"/>
        <v>80</v>
      </c>
      <c r="H15" s="23">
        <f t="shared" si="3"/>
        <v>94</v>
      </c>
      <c r="I15" s="23">
        <f t="shared" si="3"/>
        <v>108</v>
      </c>
      <c r="J15" s="23">
        <f t="shared" si="3"/>
        <v>122</v>
      </c>
      <c r="K15" s="23">
        <f t="shared" si="3"/>
        <v>136</v>
      </c>
      <c r="L15" s="23">
        <f t="shared" si="3"/>
        <v>150</v>
      </c>
      <c r="M15" s="23">
        <f t="shared" si="3"/>
        <v>164</v>
      </c>
      <c r="N15" s="23">
        <f>M15</f>
        <v>164</v>
      </c>
    </row>
    <row r="16" spans="1:14" x14ac:dyDescent="0.25">
      <c r="A16" s="5" t="s">
        <v>44</v>
      </c>
      <c r="B16" s="24">
        <f>B14/Supuestos!$C$7</f>
        <v>0</v>
      </c>
      <c r="C16" s="24">
        <f>C14/Supuestos!$C$7</f>
        <v>0</v>
      </c>
      <c r="D16" s="24">
        <f>D14/Supuestos!$C$7</f>
        <v>0</v>
      </c>
      <c r="E16" s="24">
        <f>E14/Supuestos!$C$7</f>
        <v>2.6666666666666665</v>
      </c>
      <c r="F16" s="24">
        <f>F14/Supuestos!$C$7</f>
        <v>6</v>
      </c>
      <c r="G16" s="24">
        <f>G14/Supuestos!$C$7</f>
        <v>10</v>
      </c>
      <c r="H16" s="24">
        <f>H14/Supuestos!$C$7</f>
        <v>14.666666666666666</v>
      </c>
      <c r="I16" s="24">
        <f>I14/Supuestos!$C$7</f>
        <v>19.333333333333332</v>
      </c>
      <c r="J16" s="24">
        <f>J14/Supuestos!$C$7</f>
        <v>24</v>
      </c>
      <c r="K16" s="24">
        <f>K14/Supuestos!$C$7</f>
        <v>28.666666666666668</v>
      </c>
      <c r="L16" s="24">
        <f>L14/Supuestos!$C$7</f>
        <v>33.333333333333336</v>
      </c>
      <c r="M16" s="24">
        <f>M14/Supuestos!$C$7</f>
        <v>38</v>
      </c>
    </row>
    <row r="18" spans="1:14" x14ac:dyDescent="0.25">
      <c r="A18" s="3" t="s">
        <v>45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5" t="s">
        <v>46</v>
      </c>
      <c r="B19" s="22">
        <f t="shared" ref="B19:M19" si="4">B53</f>
        <v>20</v>
      </c>
      <c r="C19" s="22">
        <f t="shared" si="4"/>
        <v>20</v>
      </c>
      <c r="D19" s="22">
        <f t="shared" si="4"/>
        <v>10</v>
      </c>
      <c r="E19" s="22">
        <f t="shared" si="4"/>
        <v>20</v>
      </c>
      <c r="F19" s="22">
        <f t="shared" si="4"/>
        <v>40</v>
      </c>
      <c r="G19" s="22">
        <f t="shared" si="4"/>
        <v>50</v>
      </c>
      <c r="H19" s="22">
        <f t="shared" si="4"/>
        <v>50</v>
      </c>
      <c r="I19" s="22">
        <f t="shared" si="4"/>
        <v>50</v>
      </c>
      <c r="J19" s="22">
        <f t="shared" si="4"/>
        <v>50</v>
      </c>
      <c r="K19" s="22">
        <f t="shared" si="4"/>
        <v>50</v>
      </c>
      <c r="L19" s="22">
        <f t="shared" si="4"/>
        <v>50</v>
      </c>
      <c r="M19" s="22">
        <f t="shared" si="4"/>
        <v>50</v>
      </c>
      <c r="N19" s="22">
        <f>SUM(B19:M19)</f>
        <v>460</v>
      </c>
    </row>
    <row r="20" spans="1:14" x14ac:dyDescent="0.25">
      <c r="A20" s="5" t="s">
        <v>47</v>
      </c>
      <c r="B20" s="25">
        <f>B19*Supuestos!$C$5</f>
        <v>17280</v>
      </c>
      <c r="C20" s="25">
        <f>C19*Supuestos!$C$5</f>
        <v>17280</v>
      </c>
      <c r="D20" s="25">
        <f>D19*Supuestos!$C$5</f>
        <v>8640</v>
      </c>
      <c r="E20" s="25">
        <f>E19*Supuestos!$C$5</f>
        <v>17280</v>
      </c>
      <c r="F20" s="25">
        <f>F19*Supuestos!$C$5</f>
        <v>34560</v>
      </c>
      <c r="G20" s="25">
        <f>G19*Supuestos!$C$5</f>
        <v>43200</v>
      </c>
      <c r="H20" s="25">
        <f>H19*Supuestos!$C$5</f>
        <v>43200</v>
      </c>
      <c r="I20" s="25">
        <f>I19*Supuestos!$C$5</f>
        <v>43200</v>
      </c>
      <c r="J20" s="25">
        <f>J19*Supuestos!$C$5</f>
        <v>43200</v>
      </c>
      <c r="K20" s="25">
        <f>K19*Supuestos!$C$5</f>
        <v>43200</v>
      </c>
      <c r="L20" s="25">
        <f>L19*Supuestos!$C$5</f>
        <v>43200</v>
      </c>
      <c r="M20" s="25">
        <f>M19*Supuestos!$C$5</f>
        <v>43200</v>
      </c>
      <c r="N20" s="25">
        <f>SUM(B20:M20)</f>
        <v>397440</v>
      </c>
    </row>
    <row r="21" spans="1:14" x14ac:dyDescent="0.25">
      <c r="A21" s="5" t="s">
        <v>48</v>
      </c>
      <c r="B21" s="22">
        <f t="shared" ref="B21:M21" si="5">B68</f>
        <v>0</v>
      </c>
      <c r="C21" s="22">
        <f t="shared" si="5"/>
        <v>0</v>
      </c>
      <c r="D21" s="22">
        <f t="shared" si="5"/>
        <v>0</v>
      </c>
      <c r="E21" s="22">
        <f t="shared" si="5"/>
        <v>8</v>
      </c>
      <c r="F21" s="22">
        <f t="shared" si="5"/>
        <v>10</v>
      </c>
      <c r="G21" s="22">
        <f t="shared" si="5"/>
        <v>20</v>
      </c>
      <c r="H21" s="22">
        <f t="shared" si="5"/>
        <v>32</v>
      </c>
      <c r="I21" s="22">
        <f t="shared" si="5"/>
        <v>44</v>
      </c>
      <c r="J21" s="22">
        <f t="shared" si="5"/>
        <v>58</v>
      </c>
      <c r="K21" s="22">
        <f t="shared" si="5"/>
        <v>72</v>
      </c>
      <c r="L21" s="22">
        <f t="shared" si="5"/>
        <v>86</v>
      </c>
      <c r="M21" s="22">
        <f t="shared" si="5"/>
        <v>100</v>
      </c>
      <c r="N21" s="22">
        <f>SUM(B21:M21)</f>
        <v>430</v>
      </c>
    </row>
    <row r="22" spans="1:14" x14ac:dyDescent="0.25">
      <c r="A22" s="5" t="s">
        <v>49</v>
      </c>
      <c r="B22" s="25">
        <f>B21*Supuestos!$C$5</f>
        <v>0</v>
      </c>
      <c r="C22" s="25">
        <f>C21*Supuestos!$C$5</f>
        <v>0</v>
      </c>
      <c r="D22" s="25">
        <f>D21*Supuestos!$C$5</f>
        <v>0</v>
      </c>
      <c r="E22" s="25">
        <f>E21*Supuestos!$C$5</f>
        <v>6912</v>
      </c>
      <c r="F22" s="25">
        <f>F21*Supuestos!$C$5</f>
        <v>8640</v>
      </c>
      <c r="G22" s="25">
        <f>G21*Supuestos!$C$5</f>
        <v>17280</v>
      </c>
      <c r="H22" s="25">
        <f>H21*Supuestos!$C$5</f>
        <v>27648</v>
      </c>
      <c r="I22" s="25">
        <f>I21*Supuestos!$C$5</f>
        <v>38016</v>
      </c>
      <c r="J22" s="25">
        <f>J21*Supuestos!$C$5</f>
        <v>50112</v>
      </c>
      <c r="K22" s="25">
        <f>K21*Supuestos!$C$5</f>
        <v>62208</v>
      </c>
      <c r="L22" s="25">
        <f>L21*Supuestos!$C$5</f>
        <v>74304</v>
      </c>
      <c r="M22" s="25">
        <f>M21*Supuestos!$C$5</f>
        <v>86400</v>
      </c>
      <c r="N22" s="25">
        <f>SUM(B22:M22)</f>
        <v>371520</v>
      </c>
    </row>
    <row r="23" spans="1:14" x14ac:dyDescent="0.25">
      <c r="A23" s="17" t="s">
        <v>50</v>
      </c>
      <c r="B23" s="26">
        <f t="shared" ref="B23:M23" si="6">B20+B22</f>
        <v>17280</v>
      </c>
      <c r="C23" s="26">
        <f t="shared" si="6"/>
        <v>17280</v>
      </c>
      <c r="D23" s="26">
        <f t="shared" si="6"/>
        <v>8640</v>
      </c>
      <c r="E23" s="26">
        <f t="shared" si="6"/>
        <v>24192</v>
      </c>
      <c r="F23" s="26">
        <f t="shared" si="6"/>
        <v>43200</v>
      </c>
      <c r="G23" s="26">
        <f t="shared" si="6"/>
        <v>60480</v>
      </c>
      <c r="H23" s="26">
        <f t="shared" si="6"/>
        <v>70848</v>
      </c>
      <c r="I23" s="26">
        <f t="shared" si="6"/>
        <v>81216</v>
      </c>
      <c r="J23" s="26">
        <f t="shared" si="6"/>
        <v>93312</v>
      </c>
      <c r="K23" s="26">
        <f t="shared" si="6"/>
        <v>105408</v>
      </c>
      <c r="L23" s="26">
        <f t="shared" si="6"/>
        <v>117504</v>
      </c>
      <c r="M23" s="26">
        <f t="shared" si="6"/>
        <v>129600</v>
      </c>
      <c r="N23" s="26">
        <f>SUM(B23:M23)</f>
        <v>768960</v>
      </c>
    </row>
    <row r="25" spans="1:14" x14ac:dyDescent="0.25">
      <c r="A25" s="3" t="s">
        <v>51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5" t="s">
        <v>52</v>
      </c>
      <c r="B26" s="25">
        <f>B9*Supuestos!$C$6</f>
        <v>0</v>
      </c>
      <c r="C26" s="25">
        <f>C9*Supuestos!$C$6</f>
        <v>0</v>
      </c>
      <c r="D26" s="25">
        <f>D9*Supuestos!$C$6</f>
        <v>0</v>
      </c>
      <c r="E26" s="25">
        <f>E9*Supuestos!$C$6</f>
        <v>3200</v>
      </c>
      <c r="F26" s="25">
        <f>F9*Supuestos!$C$6</f>
        <v>4000</v>
      </c>
      <c r="G26" s="25">
        <f>G9*Supuestos!$C$6</f>
        <v>4800</v>
      </c>
      <c r="H26" s="25">
        <f>H9*Supuestos!$C$6</f>
        <v>5600</v>
      </c>
      <c r="I26" s="25">
        <f>I9*Supuestos!$C$6</f>
        <v>5600</v>
      </c>
      <c r="J26" s="25">
        <f>J9*Supuestos!$C$6</f>
        <v>5600</v>
      </c>
      <c r="K26" s="25">
        <f>K9*Supuestos!$C$6</f>
        <v>5600</v>
      </c>
      <c r="L26" s="25">
        <f>L9*Supuestos!$C$6</f>
        <v>5600</v>
      </c>
      <c r="M26" s="25">
        <f>M9*Supuestos!$C$6</f>
        <v>5600</v>
      </c>
      <c r="N26" s="25">
        <f>SUM(B26:M26)</f>
        <v>45600</v>
      </c>
    </row>
    <row r="27" spans="1:14" x14ac:dyDescent="0.25">
      <c r="A27" s="5" t="s">
        <v>53</v>
      </c>
      <c r="B27" s="22">
        <f t="shared" ref="B27:M27" si="7">B21-B9</f>
        <v>0</v>
      </c>
      <c r="C27" s="22">
        <f t="shared" si="7"/>
        <v>0</v>
      </c>
      <c r="D27" s="22">
        <f t="shared" si="7"/>
        <v>0</v>
      </c>
      <c r="E27" s="22">
        <f t="shared" si="7"/>
        <v>0</v>
      </c>
      <c r="F27" s="22">
        <f t="shared" si="7"/>
        <v>0</v>
      </c>
      <c r="G27" s="22">
        <f t="shared" si="7"/>
        <v>8</v>
      </c>
      <c r="H27" s="22">
        <f t="shared" si="7"/>
        <v>18</v>
      </c>
      <c r="I27" s="22">
        <f t="shared" si="7"/>
        <v>30</v>
      </c>
      <c r="J27" s="22">
        <f t="shared" si="7"/>
        <v>44</v>
      </c>
      <c r="K27" s="22">
        <f t="shared" si="7"/>
        <v>58</v>
      </c>
      <c r="L27" s="22">
        <f t="shared" si="7"/>
        <v>72</v>
      </c>
      <c r="M27" s="22">
        <f t="shared" si="7"/>
        <v>86</v>
      </c>
      <c r="N27" s="22">
        <f>SUM(B27:M27)</f>
        <v>316</v>
      </c>
    </row>
    <row r="28" spans="1:14" x14ac:dyDescent="0.25">
      <c r="A28" s="5" t="s">
        <v>54</v>
      </c>
      <c r="B28" s="25">
        <f>VLOOKUP(B16,Supuestos!$A$14:$C$21,3,TRUE)</f>
        <v>150</v>
      </c>
      <c r="C28" s="25">
        <f>VLOOKUP(C16,Supuestos!$A$14:$C$21,3,TRUE)</f>
        <v>150</v>
      </c>
      <c r="D28" s="25">
        <f>VLOOKUP(D16,Supuestos!$A$14:$C$21,3,TRUE)</f>
        <v>150</v>
      </c>
      <c r="E28" s="25">
        <f>VLOOKUP(E16,Supuestos!$A$14:$C$21,3,TRUE)</f>
        <v>150</v>
      </c>
      <c r="F28" s="25">
        <f>VLOOKUP(F16,Supuestos!$A$14:$C$21,3,TRUE)</f>
        <v>150</v>
      </c>
      <c r="G28" s="25">
        <f>VLOOKUP(G16,Supuestos!$A$14:$C$21,3,TRUE)</f>
        <v>150</v>
      </c>
      <c r="H28" s="25">
        <f>VLOOKUP(H16,Supuestos!$A$14:$C$21,3,TRUE)</f>
        <v>160</v>
      </c>
      <c r="I28" s="25">
        <f>VLOOKUP(I16,Supuestos!$A$14:$C$21,3,TRUE)</f>
        <v>160</v>
      </c>
      <c r="J28" s="25">
        <f>VLOOKUP(J16,Supuestos!$A$14:$C$21,3,TRUE)</f>
        <v>170</v>
      </c>
      <c r="K28" s="25">
        <f>VLOOKUP(K16,Supuestos!$A$14:$C$21,3,TRUE)</f>
        <v>170</v>
      </c>
      <c r="L28" s="25">
        <f>VLOOKUP(L16,Supuestos!$A$14:$C$21,3,TRUE)</f>
        <v>180</v>
      </c>
      <c r="M28" s="25">
        <f>VLOOKUP(M16,Supuestos!$A$14:$C$21,3,TRUE)</f>
        <v>180</v>
      </c>
    </row>
    <row r="29" spans="1:14" x14ac:dyDescent="0.25">
      <c r="A29" s="5" t="s">
        <v>55</v>
      </c>
      <c r="B29" s="25">
        <f t="shared" ref="B29:M29" si="8">B27*B28</f>
        <v>0</v>
      </c>
      <c r="C29" s="25">
        <f t="shared" si="8"/>
        <v>0</v>
      </c>
      <c r="D29" s="25">
        <f t="shared" si="8"/>
        <v>0</v>
      </c>
      <c r="E29" s="25">
        <f t="shared" si="8"/>
        <v>0</v>
      </c>
      <c r="F29" s="25">
        <f t="shared" si="8"/>
        <v>0</v>
      </c>
      <c r="G29" s="25">
        <f t="shared" si="8"/>
        <v>1200</v>
      </c>
      <c r="H29" s="25">
        <f t="shared" si="8"/>
        <v>2880</v>
      </c>
      <c r="I29" s="25">
        <f t="shared" si="8"/>
        <v>4800</v>
      </c>
      <c r="J29" s="25">
        <f t="shared" si="8"/>
        <v>7480</v>
      </c>
      <c r="K29" s="25">
        <f t="shared" si="8"/>
        <v>9860</v>
      </c>
      <c r="L29" s="25">
        <f t="shared" si="8"/>
        <v>12960</v>
      </c>
      <c r="M29" s="25">
        <f t="shared" si="8"/>
        <v>15480</v>
      </c>
      <c r="N29" s="25">
        <f>SUM(B29:M29)</f>
        <v>54660</v>
      </c>
    </row>
    <row r="30" spans="1:14" x14ac:dyDescent="0.25">
      <c r="A30" s="17" t="s">
        <v>56</v>
      </c>
      <c r="B30" s="26">
        <f t="shared" ref="B30:M30" si="9">B26+B29</f>
        <v>0</v>
      </c>
      <c r="C30" s="26">
        <f t="shared" si="9"/>
        <v>0</v>
      </c>
      <c r="D30" s="26">
        <f t="shared" si="9"/>
        <v>0</v>
      </c>
      <c r="E30" s="26">
        <f t="shared" si="9"/>
        <v>3200</v>
      </c>
      <c r="F30" s="26">
        <f t="shared" si="9"/>
        <v>4000</v>
      </c>
      <c r="G30" s="26">
        <f t="shared" si="9"/>
        <v>6000</v>
      </c>
      <c r="H30" s="26">
        <f t="shared" si="9"/>
        <v>8480</v>
      </c>
      <c r="I30" s="26">
        <f t="shared" si="9"/>
        <v>10400</v>
      </c>
      <c r="J30" s="26">
        <f t="shared" si="9"/>
        <v>13080</v>
      </c>
      <c r="K30" s="26">
        <f t="shared" si="9"/>
        <v>15460</v>
      </c>
      <c r="L30" s="26">
        <f t="shared" si="9"/>
        <v>18560</v>
      </c>
      <c r="M30" s="26">
        <f t="shared" si="9"/>
        <v>21080</v>
      </c>
      <c r="N30" s="26">
        <f>SUM(B30:M30)</f>
        <v>100260</v>
      </c>
    </row>
    <row r="32" spans="1:14" x14ac:dyDescent="0.25">
      <c r="A32" s="3" t="s">
        <v>57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27" t="s">
        <v>58</v>
      </c>
      <c r="B33" s="28">
        <f t="shared" ref="B33:M33" si="10">B23-B30</f>
        <v>17280</v>
      </c>
      <c r="C33" s="28">
        <f t="shared" si="10"/>
        <v>17280</v>
      </c>
      <c r="D33" s="28">
        <f t="shared" si="10"/>
        <v>8640</v>
      </c>
      <c r="E33" s="28">
        <f t="shared" si="10"/>
        <v>20992</v>
      </c>
      <c r="F33" s="28">
        <f t="shared" si="10"/>
        <v>39200</v>
      </c>
      <c r="G33" s="28">
        <f t="shared" si="10"/>
        <v>54480</v>
      </c>
      <c r="H33" s="28">
        <f t="shared" si="10"/>
        <v>62368</v>
      </c>
      <c r="I33" s="28">
        <f t="shared" si="10"/>
        <v>70816</v>
      </c>
      <c r="J33" s="28">
        <f t="shared" si="10"/>
        <v>80232</v>
      </c>
      <c r="K33" s="28">
        <f t="shared" si="10"/>
        <v>89948</v>
      </c>
      <c r="L33" s="28">
        <f t="shared" si="10"/>
        <v>98944</v>
      </c>
      <c r="M33" s="28">
        <f t="shared" si="10"/>
        <v>108520</v>
      </c>
      <c r="N33" s="28">
        <f>SUM(B33:M33)</f>
        <v>668700</v>
      </c>
    </row>
    <row r="34" spans="1:14" x14ac:dyDescent="0.25">
      <c r="A34" s="17" t="s">
        <v>59</v>
      </c>
      <c r="B34" s="26">
        <f>B33</f>
        <v>17280</v>
      </c>
      <c r="C34" s="26">
        <f t="shared" ref="C34:M34" si="11">B34+C33</f>
        <v>34560</v>
      </c>
      <c r="D34" s="26">
        <f t="shared" si="11"/>
        <v>43200</v>
      </c>
      <c r="E34" s="26">
        <f t="shared" si="11"/>
        <v>64192</v>
      </c>
      <c r="F34" s="26">
        <f t="shared" si="11"/>
        <v>103392</v>
      </c>
      <c r="G34" s="26">
        <f t="shared" si="11"/>
        <v>157872</v>
      </c>
      <c r="H34" s="26">
        <f t="shared" si="11"/>
        <v>220240</v>
      </c>
      <c r="I34" s="26">
        <f t="shared" si="11"/>
        <v>291056</v>
      </c>
      <c r="J34" s="26">
        <f t="shared" si="11"/>
        <v>371288</v>
      </c>
      <c r="K34" s="26">
        <f t="shared" si="11"/>
        <v>461236</v>
      </c>
      <c r="L34" s="26">
        <f t="shared" si="11"/>
        <v>560180</v>
      </c>
      <c r="M34" s="26">
        <f t="shared" si="11"/>
        <v>668700</v>
      </c>
      <c r="N34" s="26">
        <f>M34</f>
        <v>668700</v>
      </c>
    </row>
    <row r="36" spans="1:14" x14ac:dyDescent="0.25">
      <c r="A36" s="9" t="s">
        <v>60</v>
      </c>
      <c r="B36" s="29">
        <f>B9*Supuestos!$C$8</f>
        <v>0</v>
      </c>
      <c r="C36" s="29">
        <f>C9*Supuestos!$C$8</f>
        <v>0</v>
      </c>
      <c r="D36" s="29">
        <f>D9*Supuestos!$C$8</f>
        <v>0</v>
      </c>
      <c r="E36" s="29">
        <f>E9*Supuestos!$C$8</f>
        <v>4298.3999999999996</v>
      </c>
      <c r="F36" s="29">
        <f>F9*Supuestos!$C$8</f>
        <v>5373</v>
      </c>
      <c r="G36" s="29">
        <f>G9*Supuestos!$C$8</f>
        <v>6447.5999999999995</v>
      </c>
      <c r="H36" s="29">
        <f>H9*Supuestos!$C$8</f>
        <v>7522.1999999999989</v>
      </c>
      <c r="I36" s="29">
        <f>I9*Supuestos!$C$8</f>
        <v>7522.1999999999989</v>
      </c>
      <c r="J36" s="29">
        <f>J9*Supuestos!$C$8</f>
        <v>7522.1999999999989</v>
      </c>
      <c r="K36" s="29">
        <f>K9*Supuestos!$C$8</f>
        <v>7522.1999999999989</v>
      </c>
      <c r="L36" s="29">
        <f>L9*Supuestos!$C$8</f>
        <v>7522.1999999999989</v>
      </c>
      <c r="M36" s="29">
        <f>M9*Supuestos!$C$8</f>
        <v>7522.1999999999989</v>
      </c>
      <c r="N36" s="29">
        <f>SUM(B36:M36)</f>
        <v>61252.199999999983</v>
      </c>
    </row>
    <row r="39" spans="1:14" x14ac:dyDescent="0.25">
      <c r="A39" s="3" t="s">
        <v>61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25">
      <c r="A40" s="30" t="s">
        <v>62</v>
      </c>
      <c r="B40" s="31">
        <v>1</v>
      </c>
      <c r="C40" s="31">
        <v>2</v>
      </c>
      <c r="D40" s="31">
        <v>3</v>
      </c>
      <c r="E40" s="31">
        <v>4</v>
      </c>
      <c r="F40" s="31">
        <v>5</v>
      </c>
      <c r="G40" s="31">
        <v>6</v>
      </c>
      <c r="H40" s="31">
        <v>7</v>
      </c>
      <c r="I40" s="31">
        <v>8</v>
      </c>
      <c r="J40" s="31">
        <v>9</v>
      </c>
      <c r="K40" s="31">
        <v>10</v>
      </c>
      <c r="L40" s="31">
        <v>11</v>
      </c>
      <c r="M40" s="31">
        <v>12</v>
      </c>
    </row>
    <row r="41" spans="1:14" x14ac:dyDescent="0.25">
      <c r="A41" s="9" t="s">
        <v>63</v>
      </c>
      <c r="B41" s="22">
        <f>Supuestos!B26</f>
        <v>20</v>
      </c>
      <c r="C41" s="22">
        <v>0</v>
      </c>
      <c r="D41" s="22">
        <v>0</v>
      </c>
      <c r="E41" s="22">
        <f>Supuestos!B26</f>
        <v>20</v>
      </c>
      <c r="F41" s="22">
        <f>Supuestos!B26</f>
        <v>20</v>
      </c>
      <c r="G41" s="22">
        <f>Supuestos!B26</f>
        <v>20</v>
      </c>
      <c r="H41" s="22">
        <f>Supuestos!B26</f>
        <v>20</v>
      </c>
      <c r="I41" s="22">
        <f>Supuestos!B26</f>
        <v>20</v>
      </c>
      <c r="J41" s="22">
        <f>Supuestos!B26</f>
        <v>20</v>
      </c>
      <c r="K41" s="22">
        <f>Supuestos!B26</f>
        <v>20</v>
      </c>
      <c r="L41" s="22">
        <f>Supuestos!B26</f>
        <v>20</v>
      </c>
      <c r="M41" s="22">
        <f>Supuestos!B26</f>
        <v>20</v>
      </c>
    </row>
    <row r="42" spans="1:14" x14ac:dyDescent="0.25">
      <c r="A42" s="9" t="s">
        <v>64</v>
      </c>
      <c r="B42" s="22">
        <v>0</v>
      </c>
      <c r="C42" s="22">
        <f>Supuestos!C26</f>
        <v>20</v>
      </c>
      <c r="D42" s="22">
        <v>0</v>
      </c>
      <c r="E42" s="22">
        <v>0</v>
      </c>
      <c r="F42" s="22">
        <f>Supuestos!C26</f>
        <v>20</v>
      </c>
      <c r="G42" s="22">
        <f>Supuestos!C26</f>
        <v>20</v>
      </c>
      <c r="H42" s="22">
        <f>Supuestos!C26</f>
        <v>20</v>
      </c>
      <c r="I42" s="22">
        <f>Supuestos!C26</f>
        <v>20</v>
      </c>
      <c r="J42" s="22">
        <f>Supuestos!C26</f>
        <v>20</v>
      </c>
      <c r="K42" s="22">
        <f>Supuestos!C26</f>
        <v>20</v>
      </c>
      <c r="L42" s="22">
        <f>Supuestos!C26</f>
        <v>20</v>
      </c>
      <c r="M42" s="22">
        <f>Supuestos!C26</f>
        <v>20</v>
      </c>
    </row>
    <row r="43" spans="1:14" x14ac:dyDescent="0.25">
      <c r="A43" s="9" t="s">
        <v>65</v>
      </c>
      <c r="B43" s="22">
        <v>0</v>
      </c>
      <c r="C43" s="22">
        <v>0</v>
      </c>
      <c r="D43" s="22">
        <f>Supuestos!D26</f>
        <v>10</v>
      </c>
      <c r="E43" s="22">
        <v>0</v>
      </c>
      <c r="F43" s="22">
        <v>0</v>
      </c>
      <c r="G43" s="22">
        <f>Supuestos!D26</f>
        <v>10</v>
      </c>
      <c r="H43" s="22">
        <f>Supuestos!D26</f>
        <v>10</v>
      </c>
      <c r="I43" s="22">
        <f>Supuestos!D26</f>
        <v>10</v>
      </c>
      <c r="J43" s="22">
        <f>Supuestos!D26</f>
        <v>10</v>
      </c>
      <c r="K43" s="22">
        <f>Supuestos!D26</f>
        <v>10</v>
      </c>
      <c r="L43" s="22">
        <f>Supuestos!D26</f>
        <v>10</v>
      </c>
      <c r="M43" s="22">
        <f>Supuestos!D26</f>
        <v>10</v>
      </c>
    </row>
    <row r="44" spans="1:14" x14ac:dyDescent="0.25">
      <c r="A44" s="9" t="s">
        <v>66</v>
      </c>
      <c r="B44" s="22">
        <v>0</v>
      </c>
      <c r="C44" s="22">
        <v>0</v>
      </c>
      <c r="D44" s="22">
        <v>0</v>
      </c>
      <c r="E44" s="22">
        <f>Supuestos!E26</f>
        <v>0</v>
      </c>
      <c r="F44" s="22">
        <v>0</v>
      </c>
      <c r="G44" s="22">
        <v>0</v>
      </c>
      <c r="H44" s="22">
        <f>Supuestos!E26</f>
        <v>0</v>
      </c>
      <c r="I44" s="22">
        <f>Supuestos!E26</f>
        <v>0</v>
      </c>
      <c r="J44" s="22">
        <f>Supuestos!E26</f>
        <v>0</v>
      </c>
      <c r="K44" s="22">
        <f>Supuestos!E26</f>
        <v>0</v>
      </c>
      <c r="L44" s="22">
        <f>Supuestos!E26</f>
        <v>0</v>
      </c>
      <c r="M44" s="22">
        <f>Supuestos!E26</f>
        <v>0</v>
      </c>
    </row>
    <row r="45" spans="1:14" x14ac:dyDescent="0.25">
      <c r="A45" s="9" t="s">
        <v>67</v>
      </c>
      <c r="B45" s="22">
        <v>0</v>
      </c>
      <c r="C45" s="22">
        <v>0</v>
      </c>
      <c r="D45" s="22">
        <v>0</v>
      </c>
      <c r="E45" s="22">
        <v>0</v>
      </c>
      <c r="F45" s="22">
        <f>Supuestos!F26</f>
        <v>0</v>
      </c>
      <c r="G45" s="22">
        <v>0</v>
      </c>
      <c r="H45" s="22">
        <v>0</v>
      </c>
      <c r="I45" s="22">
        <f>Supuestos!F26</f>
        <v>0</v>
      </c>
      <c r="J45" s="22">
        <f>Supuestos!F26</f>
        <v>0</v>
      </c>
      <c r="K45" s="22">
        <f>Supuestos!F26</f>
        <v>0</v>
      </c>
      <c r="L45" s="22">
        <f>Supuestos!F26</f>
        <v>0</v>
      </c>
      <c r="M45" s="22">
        <f>Supuestos!F26</f>
        <v>0</v>
      </c>
    </row>
    <row r="46" spans="1:14" x14ac:dyDescent="0.25">
      <c r="A46" s="9" t="s">
        <v>68</v>
      </c>
      <c r="B46" s="22">
        <v>0</v>
      </c>
      <c r="C46" s="22">
        <v>0</v>
      </c>
      <c r="D46" s="22">
        <v>0</v>
      </c>
      <c r="E46" s="22">
        <v>0</v>
      </c>
      <c r="F46" s="22">
        <v>0</v>
      </c>
      <c r="G46" s="22">
        <f>Supuestos!G26</f>
        <v>0</v>
      </c>
      <c r="H46" s="22">
        <v>0</v>
      </c>
      <c r="I46" s="22">
        <v>0</v>
      </c>
      <c r="J46" s="22">
        <f>Supuestos!G26</f>
        <v>0</v>
      </c>
      <c r="K46" s="22">
        <f>Supuestos!G26</f>
        <v>0</v>
      </c>
      <c r="L46" s="22">
        <f>Supuestos!G26</f>
        <v>0</v>
      </c>
      <c r="M46" s="22">
        <f>Supuestos!G26</f>
        <v>0</v>
      </c>
    </row>
    <row r="47" spans="1:14" x14ac:dyDescent="0.25">
      <c r="A47" s="9" t="s">
        <v>69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f>Supuestos!H26</f>
        <v>0</v>
      </c>
      <c r="I47" s="22">
        <v>0</v>
      </c>
      <c r="J47" s="22">
        <v>0</v>
      </c>
      <c r="K47" s="22">
        <f>Supuestos!H26</f>
        <v>0</v>
      </c>
      <c r="L47" s="22">
        <f>Supuestos!H26</f>
        <v>0</v>
      </c>
      <c r="M47" s="22">
        <f>Supuestos!H26</f>
        <v>0</v>
      </c>
    </row>
    <row r="48" spans="1:14" x14ac:dyDescent="0.25">
      <c r="A48" s="9" t="s">
        <v>70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f>Supuestos!I26</f>
        <v>0</v>
      </c>
      <c r="J48" s="22">
        <v>0</v>
      </c>
      <c r="K48" s="22">
        <v>0</v>
      </c>
      <c r="L48" s="22">
        <f>Supuestos!I26</f>
        <v>0</v>
      </c>
      <c r="M48" s="22">
        <f>Supuestos!I26</f>
        <v>0</v>
      </c>
    </row>
    <row r="49" spans="1:13" x14ac:dyDescent="0.25">
      <c r="A49" s="9" t="s">
        <v>71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f>Supuestos!J26</f>
        <v>0</v>
      </c>
      <c r="K49" s="22">
        <v>0</v>
      </c>
      <c r="L49" s="22">
        <v>0</v>
      </c>
      <c r="M49" s="22">
        <f>Supuestos!J26</f>
        <v>0</v>
      </c>
    </row>
    <row r="50" spans="1:13" x14ac:dyDescent="0.25">
      <c r="A50" s="9" t="s">
        <v>72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f>Supuestos!K26</f>
        <v>0</v>
      </c>
      <c r="L50" s="22">
        <v>0</v>
      </c>
      <c r="M50" s="22">
        <v>0</v>
      </c>
    </row>
    <row r="51" spans="1:13" x14ac:dyDescent="0.25">
      <c r="A51" s="9" t="s">
        <v>73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f>Supuestos!L26</f>
        <v>0</v>
      </c>
      <c r="M51" s="22">
        <v>0</v>
      </c>
    </row>
    <row r="52" spans="1:13" x14ac:dyDescent="0.25">
      <c r="A52" s="9" t="s">
        <v>74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f>Supuestos!M26</f>
        <v>0</v>
      </c>
    </row>
    <row r="53" spans="1:13" x14ac:dyDescent="0.25">
      <c r="A53" s="17" t="s">
        <v>46</v>
      </c>
      <c r="B53" s="23">
        <f t="shared" ref="B53:M53" si="12">SUM(B41:B52)</f>
        <v>20</v>
      </c>
      <c r="C53" s="23">
        <f t="shared" si="12"/>
        <v>20</v>
      </c>
      <c r="D53" s="23">
        <f t="shared" si="12"/>
        <v>10</v>
      </c>
      <c r="E53" s="23">
        <f t="shared" si="12"/>
        <v>20</v>
      </c>
      <c r="F53" s="23">
        <f t="shared" si="12"/>
        <v>40</v>
      </c>
      <c r="G53" s="23">
        <f t="shared" si="12"/>
        <v>50</v>
      </c>
      <c r="H53" s="23">
        <f t="shared" si="12"/>
        <v>50</v>
      </c>
      <c r="I53" s="23">
        <f t="shared" si="12"/>
        <v>50</v>
      </c>
      <c r="J53" s="23">
        <f t="shared" si="12"/>
        <v>50</v>
      </c>
      <c r="K53" s="23">
        <f t="shared" si="12"/>
        <v>50</v>
      </c>
      <c r="L53" s="23">
        <f t="shared" si="12"/>
        <v>50</v>
      </c>
      <c r="M53" s="23">
        <f t="shared" si="12"/>
        <v>50</v>
      </c>
    </row>
    <row r="55" spans="1:13" x14ac:dyDescent="0.25">
      <c r="A55" s="30" t="s">
        <v>75</v>
      </c>
      <c r="B55" s="31">
        <v>1</v>
      </c>
      <c r="C55" s="31">
        <v>2</v>
      </c>
      <c r="D55" s="31">
        <v>3</v>
      </c>
      <c r="E55" s="31">
        <v>4</v>
      </c>
      <c r="F55" s="31">
        <v>5</v>
      </c>
      <c r="G55" s="31">
        <v>6</v>
      </c>
      <c r="H55" s="31">
        <v>7</v>
      </c>
      <c r="I55" s="31">
        <v>8</v>
      </c>
      <c r="J55" s="31">
        <v>9</v>
      </c>
      <c r="K55" s="31">
        <v>10</v>
      </c>
      <c r="L55" s="31">
        <v>11</v>
      </c>
      <c r="M55" s="31">
        <v>12</v>
      </c>
    </row>
    <row r="56" spans="1:13" x14ac:dyDescent="0.25">
      <c r="A56" s="9" t="s">
        <v>63</v>
      </c>
      <c r="B56" s="22">
        <f>Supuestos!B27</f>
        <v>0</v>
      </c>
      <c r="C56" s="22">
        <v>0</v>
      </c>
      <c r="D56" s="22">
        <f>Supuestos!B27</f>
        <v>0</v>
      </c>
      <c r="E56" s="22">
        <f>Supuestos!B27</f>
        <v>0</v>
      </c>
      <c r="F56" s="22">
        <f>Supuestos!B27</f>
        <v>0</v>
      </c>
      <c r="G56" s="22">
        <f>Supuestos!B27</f>
        <v>0</v>
      </c>
      <c r="H56" s="22">
        <f>Supuestos!B27</f>
        <v>0</v>
      </c>
      <c r="I56" s="22">
        <f>Supuestos!B27</f>
        <v>0</v>
      </c>
      <c r="J56" s="22">
        <f>Supuestos!B27</f>
        <v>0</v>
      </c>
      <c r="K56" s="22">
        <f>Supuestos!B27</f>
        <v>0</v>
      </c>
      <c r="L56" s="22">
        <f>Supuestos!B27</f>
        <v>0</v>
      </c>
      <c r="M56" s="22">
        <f>Supuestos!B27</f>
        <v>0</v>
      </c>
    </row>
    <row r="57" spans="1:13" x14ac:dyDescent="0.25">
      <c r="A57" s="9" t="s">
        <v>64</v>
      </c>
      <c r="B57" s="22">
        <v>0</v>
      </c>
      <c r="C57" s="22">
        <f>Supuestos!C27</f>
        <v>0</v>
      </c>
      <c r="D57" s="22">
        <v>0</v>
      </c>
      <c r="E57" s="22">
        <f>Supuestos!C27</f>
        <v>0</v>
      </c>
      <c r="F57" s="22">
        <f>Supuestos!C27</f>
        <v>0</v>
      </c>
      <c r="G57" s="22">
        <f>Supuestos!C27</f>
        <v>0</v>
      </c>
      <c r="H57" s="22">
        <f>Supuestos!C27</f>
        <v>0</v>
      </c>
      <c r="I57" s="22">
        <f>Supuestos!C27</f>
        <v>0</v>
      </c>
      <c r="J57" s="22">
        <f>Supuestos!C27</f>
        <v>0</v>
      </c>
      <c r="K57" s="22">
        <f>Supuestos!C27</f>
        <v>0</v>
      </c>
      <c r="L57" s="22">
        <f>Supuestos!C27</f>
        <v>0</v>
      </c>
      <c r="M57" s="22">
        <f>Supuestos!C27</f>
        <v>0</v>
      </c>
    </row>
    <row r="58" spans="1:13" x14ac:dyDescent="0.25">
      <c r="A58" s="9" t="s">
        <v>65</v>
      </c>
      <c r="B58" s="22">
        <v>0</v>
      </c>
      <c r="C58" s="22">
        <v>0</v>
      </c>
      <c r="D58" s="22">
        <f>Supuestos!D27</f>
        <v>0</v>
      </c>
      <c r="E58" s="22">
        <v>0</v>
      </c>
      <c r="F58" s="22">
        <f>Supuestos!D27</f>
        <v>0</v>
      </c>
      <c r="G58" s="22">
        <f>Supuestos!D27</f>
        <v>0</v>
      </c>
      <c r="H58" s="22">
        <f>Supuestos!D27</f>
        <v>0</v>
      </c>
      <c r="I58" s="22">
        <f>Supuestos!D27</f>
        <v>0</v>
      </c>
      <c r="J58" s="22">
        <f>Supuestos!D27</f>
        <v>0</v>
      </c>
      <c r="K58" s="22">
        <f>Supuestos!D27</f>
        <v>0</v>
      </c>
      <c r="L58" s="22">
        <f>Supuestos!D27</f>
        <v>0</v>
      </c>
      <c r="M58" s="22">
        <f>Supuestos!D27</f>
        <v>0</v>
      </c>
    </row>
    <row r="59" spans="1:13" x14ac:dyDescent="0.25">
      <c r="A59" s="9" t="s">
        <v>66</v>
      </c>
      <c r="B59" s="22">
        <v>0</v>
      </c>
      <c r="C59" s="22">
        <v>0</v>
      </c>
      <c r="D59" s="22">
        <v>0</v>
      </c>
      <c r="E59" s="22">
        <f>Supuestos!E27</f>
        <v>8</v>
      </c>
      <c r="F59" s="22">
        <v>0</v>
      </c>
      <c r="G59" s="22">
        <f>Supuestos!E27</f>
        <v>8</v>
      </c>
      <c r="H59" s="22">
        <f>Supuestos!E27</f>
        <v>8</v>
      </c>
      <c r="I59" s="22">
        <f>Supuestos!E27</f>
        <v>8</v>
      </c>
      <c r="J59" s="22">
        <f>Supuestos!E27</f>
        <v>8</v>
      </c>
      <c r="K59" s="22">
        <f>Supuestos!E27</f>
        <v>8</v>
      </c>
      <c r="L59" s="22">
        <f>Supuestos!E27</f>
        <v>8</v>
      </c>
      <c r="M59" s="22">
        <f>Supuestos!E27</f>
        <v>8</v>
      </c>
    </row>
    <row r="60" spans="1:13" x14ac:dyDescent="0.25">
      <c r="A60" s="9" t="s">
        <v>67</v>
      </c>
      <c r="B60" s="22">
        <v>0</v>
      </c>
      <c r="C60" s="22">
        <v>0</v>
      </c>
      <c r="D60" s="22">
        <v>0</v>
      </c>
      <c r="E60" s="22">
        <v>0</v>
      </c>
      <c r="F60" s="22">
        <f>Supuestos!F27</f>
        <v>10</v>
      </c>
      <c r="G60" s="22">
        <v>0</v>
      </c>
      <c r="H60" s="22">
        <f>Supuestos!F27</f>
        <v>10</v>
      </c>
      <c r="I60" s="22">
        <f>Supuestos!F27</f>
        <v>10</v>
      </c>
      <c r="J60" s="22">
        <f>Supuestos!F27</f>
        <v>10</v>
      </c>
      <c r="K60" s="22">
        <f>Supuestos!F27</f>
        <v>10</v>
      </c>
      <c r="L60" s="22">
        <f>Supuestos!F27</f>
        <v>10</v>
      </c>
      <c r="M60" s="22">
        <f>Supuestos!F27</f>
        <v>10</v>
      </c>
    </row>
    <row r="61" spans="1:13" x14ac:dyDescent="0.25">
      <c r="A61" s="9" t="s">
        <v>68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f>Supuestos!G27</f>
        <v>12</v>
      </c>
      <c r="H61" s="22">
        <v>0</v>
      </c>
      <c r="I61" s="22">
        <f>Supuestos!G27</f>
        <v>12</v>
      </c>
      <c r="J61" s="22">
        <f>Supuestos!G27</f>
        <v>12</v>
      </c>
      <c r="K61" s="22">
        <f>Supuestos!G27</f>
        <v>12</v>
      </c>
      <c r="L61" s="22">
        <f>Supuestos!G27</f>
        <v>12</v>
      </c>
      <c r="M61" s="22">
        <f>Supuestos!G27</f>
        <v>12</v>
      </c>
    </row>
    <row r="62" spans="1:13" x14ac:dyDescent="0.25">
      <c r="A62" s="9" t="s">
        <v>69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f>Supuestos!H27</f>
        <v>14</v>
      </c>
      <c r="I62" s="22">
        <v>0</v>
      </c>
      <c r="J62" s="22">
        <f>Supuestos!H27</f>
        <v>14</v>
      </c>
      <c r="K62" s="22">
        <f>Supuestos!H27</f>
        <v>14</v>
      </c>
      <c r="L62" s="22">
        <f>Supuestos!H27</f>
        <v>14</v>
      </c>
      <c r="M62" s="22">
        <f>Supuestos!H27</f>
        <v>14</v>
      </c>
    </row>
    <row r="63" spans="1:13" x14ac:dyDescent="0.25">
      <c r="A63" s="9" t="s">
        <v>70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f>Supuestos!I27</f>
        <v>14</v>
      </c>
      <c r="J63" s="22">
        <v>0</v>
      </c>
      <c r="K63" s="22">
        <f>Supuestos!I27</f>
        <v>14</v>
      </c>
      <c r="L63" s="22">
        <f>Supuestos!I27</f>
        <v>14</v>
      </c>
      <c r="M63" s="22">
        <f>Supuestos!I27</f>
        <v>14</v>
      </c>
    </row>
    <row r="64" spans="1:13" x14ac:dyDescent="0.25">
      <c r="A64" s="9" t="s">
        <v>71</v>
      </c>
      <c r="B64" s="22">
        <v>0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f>Supuestos!J27</f>
        <v>14</v>
      </c>
      <c r="K64" s="22">
        <v>0</v>
      </c>
      <c r="L64" s="22">
        <f>Supuestos!J27</f>
        <v>14</v>
      </c>
      <c r="M64" s="22">
        <f>Supuestos!J27</f>
        <v>14</v>
      </c>
    </row>
    <row r="65" spans="1:13" x14ac:dyDescent="0.25">
      <c r="A65" s="9" t="s">
        <v>72</v>
      </c>
      <c r="B65" s="22">
        <v>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f>Supuestos!K27</f>
        <v>14</v>
      </c>
      <c r="L65" s="22">
        <v>0</v>
      </c>
      <c r="M65" s="22">
        <f>Supuestos!K27</f>
        <v>14</v>
      </c>
    </row>
    <row r="66" spans="1:13" x14ac:dyDescent="0.25">
      <c r="A66" s="9" t="s">
        <v>73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f>Supuestos!L27</f>
        <v>14</v>
      </c>
      <c r="M66" s="22">
        <v>0</v>
      </c>
    </row>
    <row r="67" spans="1:13" x14ac:dyDescent="0.25">
      <c r="A67" s="9" t="s">
        <v>74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f>Supuestos!M27</f>
        <v>14</v>
      </c>
    </row>
    <row r="68" spans="1:13" x14ac:dyDescent="0.25">
      <c r="A68" s="17" t="s">
        <v>48</v>
      </c>
      <c r="B68" s="23">
        <f t="shared" ref="B68:M68" si="13">SUM(B56:B67)</f>
        <v>0</v>
      </c>
      <c r="C68" s="23">
        <f t="shared" si="13"/>
        <v>0</v>
      </c>
      <c r="D68" s="23">
        <f t="shared" si="13"/>
        <v>0</v>
      </c>
      <c r="E68" s="23">
        <f t="shared" si="13"/>
        <v>8</v>
      </c>
      <c r="F68" s="23">
        <f t="shared" si="13"/>
        <v>10</v>
      </c>
      <c r="G68" s="23">
        <f t="shared" si="13"/>
        <v>20</v>
      </c>
      <c r="H68" s="23">
        <f t="shared" si="13"/>
        <v>32</v>
      </c>
      <c r="I68" s="23">
        <f t="shared" si="13"/>
        <v>44</v>
      </c>
      <c r="J68" s="23">
        <f t="shared" si="13"/>
        <v>58</v>
      </c>
      <c r="K68" s="23">
        <f t="shared" si="13"/>
        <v>72</v>
      </c>
      <c r="L68" s="23">
        <f t="shared" si="13"/>
        <v>86</v>
      </c>
      <c r="M68" s="23">
        <f t="shared" si="13"/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Supuestos</vt:lpstr>
      <vt:lpstr>Proyección Puerto Peñasco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2026-07-09T23:03:01Z</dcterms:created>
  <dcterms:modified xsi:type="dcterms:W3CDTF">2026-07-09T23:09:30Z</dcterms:modified>
</cp:coreProperties>
</file>